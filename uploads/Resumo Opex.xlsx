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suplementos-my.sharepoint.com/personal/vagner_silva_grwt_com_br/Documents/"/>
    </mc:Choice>
  </mc:AlternateContent>
  <xr:revisionPtr revIDLastSave="0" documentId="8_{3FEF1764-F2A2-4623-89E2-DC49E975DDE3}" xr6:coauthVersionLast="47" xr6:coauthVersionMax="47" xr10:uidLastSave="{00000000-0000-0000-0000-000000000000}"/>
  <bookViews>
    <workbookView xWindow="20370" yWindow="-120" windowWidth="38640" windowHeight="15720" xr2:uid="{BD92992E-4EDB-44ED-9A7C-49BD75512454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7" i="1" l="1"/>
  <c r="C37" i="1"/>
  <c r="G37" i="1" s="1"/>
  <c r="B37" i="1"/>
  <c r="G36" i="1"/>
  <c r="F36" i="1"/>
  <c r="D36" i="1"/>
  <c r="C36" i="1"/>
  <c r="E36" i="1" s="1"/>
  <c r="B36" i="1"/>
  <c r="F35" i="1"/>
  <c r="C35" i="1"/>
  <c r="G35" i="1" s="1"/>
  <c r="B35" i="1"/>
  <c r="G34" i="1"/>
  <c r="F34" i="1"/>
  <c r="D34" i="1"/>
  <c r="C34" i="1"/>
  <c r="E34" i="1" s="1"/>
  <c r="B34" i="1"/>
  <c r="F33" i="1"/>
  <c r="C33" i="1"/>
  <c r="G33" i="1" s="1"/>
  <c r="B33" i="1"/>
  <c r="G32" i="1"/>
  <c r="F32" i="1"/>
  <c r="D32" i="1"/>
  <c r="C32" i="1"/>
  <c r="E32" i="1" s="1"/>
  <c r="B32" i="1"/>
  <c r="F28" i="1"/>
  <c r="C28" i="1"/>
  <c r="G28" i="1" s="1"/>
  <c r="B28" i="1"/>
  <c r="G27" i="1"/>
  <c r="F27" i="1"/>
  <c r="D27" i="1"/>
  <c r="C27" i="1"/>
  <c r="E27" i="1" s="1"/>
  <c r="B27" i="1"/>
  <c r="F26" i="1"/>
  <c r="C26" i="1"/>
  <c r="G26" i="1" s="1"/>
  <c r="B26" i="1"/>
  <c r="G25" i="1"/>
  <c r="F25" i="1"/>
  <c r="D25" i="1"/>
  <c r="C25" i="1"/>
  <c r="E25" i="1" s="1"/>
  <c r="B25" i="1"/>
  <c r="F24" i="1"/>
  <c r="C24" i="1"/>
  <c r="G24" i="1" s="1"/>
  <c r="B24" i="1"/>
  <c r="G23" i="1"/>
  <c r="F23" i="1"/>
  <c r="D23" i="1"/>
  <c r="C23" i="1"/>
  <c r="E23" i="1" s="1"/>
  <c r="B23" i="1"/>
  <c r="F22" i="1"/>
  <c r="C22" i="1"/>
  <c r="G22" i="1" s="1"/>
  <c r="B22" i="1"/>
  <c r="G21" i="1"/>
  <c r="F21" i="1"/>
  <c r="C21" i="1"/>
  <c r="E21" i="1" s="1"/>
  <c r="B21" i="1"/>
  <c r="D21" i="1" s="1"/>
  <c r="E16" i="1"/>
  <c r="C16" i="1"/>
  <c r="B16" i="1"/>
  <c r="D16" i="1" s="1"/>
  <c r="F16" i="1" s="1"/>
  <c r="C15" i="1"/>
  <c r="D15" i="1" s="1"/>
  <c r="F15" i="1" s="1"/>
  <c r="B15" i="1"/>
  <c r="E14" i="1"/>
  <c r="C14" i="1"/>
  <c r="D14" i="1" s="1"/>
  <c r="F14" i="1" s="1"/>
  <c r="B14" i="1"/>
  <c r="C13" i="1"/>
  <c r="E13" i="1" s="1"/>
  <c r="B13" i="1"/>
  <c r="C12" i="1"/>
  <c r="E12" i="1" s="1"/>
  <c r="B12" i="1"/>
  <c r="C11" i="1"/>
  <c r="E11" i="1" s="1"/>
  <c r="B11" i="1"/>
  <c r="D10" i="1"/>
  <c r="F10" i="1" s="1"/>
  <c r="C10" i="1"/>
  <c r="E10" i="1" s="1"/>
  <c r="B10" i="1"/>
  <c r="F9" i="1"/>
  <c r="D9" i="1"/>
  <c r="C9" i="1"/>
  <c r="E9" i="1" s="1"/>
  <c r="B9" i="1"/>
  <c r="C8" i="1"/>
  <c r="B8" i="1"/>
  <c r="E8" i="1" s="1"/>
  <c r="D7" i="1"/>
  <c r="F7" i="1" s="1"/>
  <c r="C7" i="1"/>
  <c r="E7" i="1" s="1"/>
  <c r="B7" i="1"/>
  <c r="C6" i="1"/>
  <c r="E6" i="1" s="1"/>
  <c r="B6" i="1"/>
  <c r="D6" i="1" s="1"/>
  <c r="F6" i="1" s="1"/>
  <c r="E5" i="1"/>
  <c r="C5" i="1"/>
  <c r="D5" i="1" s="1"/>
  <c r="B5" i="1"/>
  <c r="B17" i="1" s="1"/>
  <c r="F5" i="1" l="1"/>
  <c r="D8" i="1"/>
  <c r="F8" i="1" s="1"/>
  <c r="E15" i="1"/>
  <c r="D13" i="1"/>
  <c r="F13" i="1" s="1"/>
  <c r="D11" i="1"/>
  <c r="F11" i="1" s="1"/>
  <c r="D12" i="1"/>
  <c r="F12" i="1" s="1"/>
  <c r="C17" i="1"/>
  <c r="E17" i="1" s="1"/>
  <c r="D22" i="1"/>
  <c r="D24" i="1"/>
  <c r="D26" i="1"/>
  <c r="D28" i="1"/>
  <c r="D33" i="1"/>
  <c r="D35" i="1"/>
  <c r="D37" i="1"/>
  <c r="E22" i="1"/>
  <c r="E24" i="1"/>
  <c r="E26" i="1"/>
  <c r="E28" i="1"/>
  <c r="E33" i="1"/>
  <c r="E35" i="1"/>
  <c r="E37" i="1"/>
  <c r="D17" i="1" l="1"/>
  <c r="F17" i="1" s="1"/>
</calcChain>
</file>

<file path=xl/sharedStrings.xml><?xml version="1.0" encoding="utf-8"?>
<sst xmlns="http://schemas.openxmlformats.org/spreadsheetml/2006/main" count="51" uniqueCount="44">
  <si>
    <t>RESUMO GERENCIAL 2025 — OPEX — DESPESAS OPERACIONAIS</t>
  </si>
  <si>
    <t>Consolidação Mensal</t>
  </si>
  <si>
    <t>Mês</t>
  </si>
  <si>
    <t>Orçado (R$)</t>
  </si>
  <si>
    <t>Realizado (R$)</t>
  </si>
  <si>
    <t>Delta (R$)</t>
  </si>
  <si>
    <t>% Delta</t>
  </si>
  <si>
    <t>Variação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</si>
  <si>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</si>
  <si>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</si>
  <si>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</si>
  <si>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</si>
  <si>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</si>
  <si>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</si>
  <si>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</si>
  <si>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</si>
  <si>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</si>
  <si>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</si>
  <si>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</si>
  <si>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</si>
  <si>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ANUAL</t>
  </si>
  <si>
    <t>Consolidação por Área</t>
  </si>
  <si>
    <t>Área</t>
  </si>
  <si>
    <t>Total Orçado</t>
  </si>
  <si>
    <t>Total Realizado</t>
  </si>
  <si>
    <t>Total Delta</t>
  </si>
  <si>
    <t>Comprometido</t>
  </si>
  <si>
    <t>Forecast</t>
  </si>
  <si>
    <t>Infraestrutura</t>
  </si>
  <si>
    <t>Suporte</t>
  </si>
  <si>
    <t>Segurança da Informação</t>
  </si>
  <si>
    <t>Sistemas</t>
  </si>
  <si>
    <t>Governança de TI</t>
  </si>
  <si>
    <t>Redes</t>
  </si>
  <si>
    <t>Cloud</t>
  </si>
  <si>
    <t>Projetos</t>
  </si>
  <si>
    <t>Consolidação por Categoria Macro</t>
  </si>
  <si>
    <t>Categoria Macro</t>
  </si>
  <si>
    <t>Software e Licenças</t>
  </si>
  <si>
    <t>Cloud e Serviços Recorrentes</t>
  </si>
  <si>
    <t>Redes e Conectividade</t>
  </si>
  <si>
    <t>Service Desk e Suporte</t>
  </si>
  <si>
    <t>Consultoria e Serviços Especializados</t>
  </si>
  <si>
    <t>Treinamento e Capacitação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</si>
</sst>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;[Red]\-0.0%;\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75623"/>
        <bgColor rgb="FF1D6B36"/>
      </patternFill>
    </fill>
    <fill>
      <patternFill patternType="solid">
        <fgColor rgb="FF548235"/>
        <bgColor rgb="FF339966"/>
      </patternFill>
    </fill>
    <fill>
      <patternFill patternType="solid">
        <fgColor rgb="FFFFFFFF"/>
        <bgColor rgb="FFF9F9F9"/>
      </patternFill>
    </fill>
    <fill>
      <patternFill patternType="solid">
        <fgColor rgb="FFF2F7FC"/>
        <bgColor rgb="FFF5F5F5"/>
      </patternFill>
    </fill>
  </fills>
  <borders count="3">
    <border>
      <left/>
      <right/>
      <top/>
      <bottom/>
      <diagonal/>
    </border>
    <border>
      <left style="thin">
        <color rgb="FFC9C9C9"/>
      </left>
      <right/>
      <top style="thin">
        <color rgb="FFC9C9C9"/>
      </top>
      <bottom style="thin">
        <color rgb="FFC9C9C9"/>
      </bottom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43" fontId="5" fillId="4" borderId="2" xfId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43" fontId="5" fillId="5" borderId="2" xfId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right" vertical="center"/>
    </xf>
    <xf numFmtId="0" fontId="4" fillId="2" borderId="2" xfId="0" applyFont="1" applyFill="1" applyBorder="1"/>
    <xf numFmtId="43" fontId="4" fillId="2" borderId="2" xfId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gnerCassianoFloria\Downloads\Orcamento_TI_CAPEX_OPEX_2026-v1%20(1).xlsx" TargetMode="External"/><Relationship Id="rId1" Type="http://schemas.openxmlformats.org/officeDocument/2006/relationships/externalLinkPath" Target="file:///C:\Users\VagnerCassianoFloria\Downloads\Orcamento_TI_CAPEX_OPEX_2026-v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s"/>
      <sheetName val="Base_CAPEX"/>
      <sheetName val="Base_OPEX"/>
      <sheetName val="Resumo_CAPEX"/>
      <sheetName val="Resumo_OPEX"/>
      <sheetName val="Dashboard_CAPEX"/>
      <sheetName val="Dashboard_OPEX"/>
      <sheetName val="Dashboard_Consolidado"/>
      <sheetName val="Resumo_Consolidado"/>
    </sheetNames>
    <sheetDataSet>
      <sheetData sheetId="0"/>
      <sheetData sheetId="1"/>
      <sheetData sheetId="2">
        <row r="4">
          <cell r="B4" t="str">
            <v>Tecnologia da Informação</v>
          </cell>
          <cell r="E4" t="str">
            <v>Software e Licenças</v>
          </cell>
          <cell r="N4">
            <v>2415</v>
          </cell>
          <cell r="O4">
            <v>3405</v>
          </cell>
          <cell r="R4">
            <v>2415</v>
          </cell>
          <cell r="S4">
            <v>3405</v>
          </cell>
          <cell r="V4">
            <v>2521</v>
          </cell>
          <cell r="W4">
            <v>3300</v>
          </cell>
          <cell r="Z4">
            <v>2521</v>
          </cell>
          <cell r="AA4">
            <v>0</v>
          </cell>
          <cell r="AD4">
            <v>2740</v>
          </cell>
          <cell r="AE4">
            <v>0</v>
          </cell>
          <cell r="AH4">
            <v>2740</v>
          </cell>
          <cell r="AI4">
            <v>0</v>
          </cell>
          <cell r="AL4">
            <v>2740</v>
          </cell>
          <cell r="AM4">
            <v>0</v>
          </cell>
          <cell r="AP4">
            <v>2740</v>
          </cell>
          <cell r="AQ4">
            <v>0</v>
          </cell>
          <cell r="AT4">
            <v>2740</v>
          </cell>
          <cell r="AU4">
            <v>0</v>
          </cell>
          <cell r="AX4">
            <v>2740</v>
          </cell>
          <cell r="AY4">
            <v>0</v>
          </cell>
          <cell r="BB4">
            <v>2740</v>
          </cell>
          <cell r="BC4">
            <v>0</v>
          </cell>
          <cell r="BF4">
            <v>2740</v>
          </cell>
          <cell r="BG4">
            <v>0</v>
          </cell>
          <cell r="BJ4">
            <v>31792</v>
          </cell>
          <cell r="BK4">
            <v>10110</v>
          </cell>
          <cell r="BN4">
            <v>21682</v>
          </cell>
        </row>
        <row r="5">
          <cell r="B5" t="str">
            <v>Tecnologia da Informação</v>
          </cell>
          <cell r="E5" t="str">
            <v>Software e Licenças</v>
          </cell>
          <cell r="N5">
            <v>169</v>
          </cell>
          <cell r="O5">
            <v>169</v>
          </cell>
          <cell r="R5">
            <v>169</v>
          </cell>
          <cell r="S5">
            <v>169</v>
          </cell>
          <cell r="V5">
            <v>176</v>
          </cell>
          <cell r="W5">
            <v>169</v>
          </cell>
          <cell r="Z5">
            <v>176</v>
          </cell>
          <cell r="AA5">
            <v>0</v>
          </cell>
          <cell r="AD5">
            <v>353</v>
          </cell>
          <cell r="AE5">
            <v>0</v>
          </cell>
          <cell r="AH5">
            <v>353</v>
          </cell>
          <cell r="AI5">
            <v>0</v>
          </cell>
          <cell r="AL5">
            <v>353</v>
          </cell>
          <cell r="AM5">
            <v>0</v>
          </cell>
          <cell r="AP5">
            <v>353</v>
          </cell>
          <cell r="AQ5">
            <v>0</v>
          </cell>
          <cell r="AT5">
            <v>353</v>
          </cell>
          <cell r="AU5">
            <v>0</v>
          </cell>
          <cell r="AX5">
            <v>353</v>
          </cell>
          <cell r="AY5">
            <v>0</v>
          </cell>
          <cell r="BB5">
            <v>353</v>
          </cell>
          <cell r="BC5">
            <v>0</v>
          </cell>
          <cell r="BF5">
            <v>353</v>
          </cell>
          <cell r="BG5">
            <v>0</v>
          </cell>
          <cell r="BJ5">
            <v>3514</v>
          </cell>
          <cell r="BK5">
            <v>507</v>
          </cell>
          <cell r="BN5">
            <v>3007</v>
          </cell>
        </row>
        <row r="6">
          <cell r="B6" t="str">
            <v>Tecnologia da Informação</v>
          </cell>
          <cell r="E6" t="str">
            <v>Software e Licenças</v>
          </cell>
          <cell r="N6">
            <v>124</v>
          </cell>
          <cell r="O6">
            <v>0</v>
          </cell>
          <cell r="R6">
            <v>124</v>
          </cell>
          <cell r="S6">
            <v>0</v>
          </cell>
          <cell r="V6">
            <v>129</v>
          </cell>
          <cell r="W6">
            <v>480</v>
          </cell>
          <cell r="Z6">
            <v>0</v>
          </cell>
          <cell r="AA6">
            <v>0</v>
          </cell>
          <cell r="AD6">
            <v>259</v>
          </cell>
          <cell r="AE6">
            <v>0</v>
          </cell>
          <cell r="AH6">
            <v>259</v>
          </cell>
          <cell r="AI6">
            <v>0</v>
          </cell>
          <cell r="AL6">
            <v>259</v>
          </cell>
          <cell r="AM6">
            <v>0</v>
          </cell>
          <cell r="AP6">
            <v>259</v>
          </cell>
          <cell r="AQ6">
            <v>0</v>
          </cell>
          <cell r="AT6">
            <v>259</v>
          </cell>
          <cell r="AU6">
            <v>0</v>
          </cell>
          <cell r="AX6">
            <v>259</v>
          </cell>
          <cell r="AY6">
            <v>0</v>
          </cell>
          <cell r="BB6">
            <v>259</v>
          </cell>
          <cell r="BC6">
            <v>0</v>
          </cell>
          <cell r="BF6">
            <v>259</v>
          </cell>
          <cell r="BG6">
            <v>0</v>
          </cell>
          <cell r="BJ6">
            <v>2449</v>
          </cell>
          <cell r="BK6">
            <v>480</v>
          </cell>
          <cell r="BN6">
            <v>1969</v>
          </cell>
        </row>
        <row r="7">
          <cell r="B7" t="str">
            <v>Tecnologia da Informação</v>
          </cell>
          <cell r="E7" t="str">
            <v>Software e Licenças</v>
          </cell>
          <cell r="N7">
            <v>507</v>
          </cell>
          <cell r="O7">
            <v>507</v>
          </cell>
          <cell r="R7">
            <v>507</v>
          </cell>
          <cell r="S7">
            <v>507</v>
          </cell>
          <cell r="V7">
            <v>529</v>
          </cell>
          <cell r="W7">
            <v>507</v>
          </cell>
          <cell r="Z7">
            <v>0</v>
          </cell>
          <cell r="AA7">
            <v>0</v>
          </cell>
          <cell r="AD7">
            <v>706</v>
          </cell>
          <cell r="AE7">
            <v>0</v>
          </cell>
          <cell r="AH7">
            <v>706</v>
          </cell>
          <cell r="AI7">
            <v>0</v>
          </cell>
          <cell r="AL7">
            <v>706</v>
          </cell>
          <cell r="AM7">
            <v>0</v>
          </cell>
          <cell r="AP7">
            <v>706</v>
          </cell>
          <cell r="AQ7">
            <v>0</v>
          </cell>
          <cell r="AT7">
            <v>706</v>
          </cell>
          <cell r="AU7">
            <v>0</v>
          </cell>
          <cell r="AX7">
            <v>706</v>
          </cell>
          <cell r="AY7">
            <v>0</v>
          </cell>
          <cell r="BB7">
            <v>706</v>
          </cell>
          <cell r="BC7">
            <v>0</v>
          </cell>
          <cell r="BF7">
            <v>706</v>
          </cell>
          <cell r="BG7">
            <v>0</v>
          </cell>
          <cell r="BJ7">
            <v>7191</v>
          </cell>
          <cell r="BK7">
            <v>1521</v>
          </cell>
          <cell r="BN7">
            <v>5670</v>
          </cell>
        </row>
        <row r="8">
          <cell r="B8" t="str">
            <v>Tecnologia da Informação</v>
          </cell>
          <cell r="E8" t="str">
            <v>Software e Licenças</v>
          </cell>
          <cell r="N8">
            <v>169</v>
          </cell>
          <cell r="O8">
            <v>169</v>
          </cell>
          <cell r="R8">
            <v>169</v>
          </cell>
          <cell r="S8">
            <v>169</v>
          </cell>
          <cell r="V8">
            <v>176</v>
          </cell>
          <cell r="W8">
            <v>169</v>
          </cell>
          <cell r="Z8">
            <v>0</v>
          </cell>
          <cell r="AA8">
            <v>0</v>
          </cell>
          <cell r="AD8">
            <v>353</v>
          </cell>
          <cell r="AE8">
            <v>0</v>
          </cell>
          <cell r="AH8">
            <v>353</v>
          </cell>
          <cell r="AI8">
            <v>0</v>
          </cell>
          <cell r="AL8">
            <v>353</v>
          </cell>
          <cell r="AM8">
            <v>0</v>
          </cell>
          <cell r="AP8">
            <v>353</v>
          </cell>
          <cell r="AQ8">
            <v>0</v>
          </cell>
          <cell r="AT8">
            <v>353</v>
          </cell>
          <cell r="AU8">
            <v>0</v>
          </cell>
          <cell r="AX8">
            <v>353</v>
          </cell>
          <cell r="AY8">
            <v>0</v>
          </cell>
          <cell r="BB8">
            <v>353</v>
          </cell>
          <cell r="BC8">
            <v>0</v>
          </cell>
          <cell r="BF8">
            <v>353</v>
          </cell>
          <cell r="BG8">
            <v>0</v>
          </cell>
          <cell r="BJ8">
            <v>3338</v>
          </cell>
          <cell r="BK8">
            <v>507</v>
          </cell>
          <cell r="BN8">
            <v>2831</v>
          </cell>
        </row>
        <row r="9">
          <cell r="B9" t="str">
            <v>Tecnologia da Informação</v>
          </cell>
          <cell r="E9" t="str">
            <v>Software e Licenças</v>
          </cell>
          <cell r="N9">
            <v>676</v>
          </cell>
          <cell r="O9">
            <v>676</v>
          </cell>
          <cell r="R9">
            <v>676</v>
          </cell>
          <cell r="S9">
            <v>676</v>
          </cell>
          <cell r="V9">
            <v>706</v>
          </cell>
          <cell r="W9">
            <v>845</v>
          </cell>
          <cell r="Z9">
            <v>706</v>
          </cell>
          <cell r="AA9">
            <v>0</v>
          </cell>
          <cell r="AD9">
            <v>882</v>
          </cell>
          <cell r="AE9">
            <v>0</v>
          </cell>
          <cell r="AH9">
            <v>882</v>
          </cell>
          <cell r="AI9">
            <v>0</v>
          </cell>
          <cell r="AL9">
            <v>882</v>
          </cell>
          <cell r="AM9">
            <v>0</v>
          </cell>
          <cell r="AP9">
            <v>882</v>
          </cell>
          <cell r="AT9">
            <v>882</v>
          </cell>
          <cell r="AU9">
            <v>0</v>
          </cell>
          <cell r="AX9">
            <v>882</v>
          </cell>
          <cell r="AY9">
            <v>0</v>
          </cell>
          <cell r="BB9">
            <v>882</v>
          </cell>
          <cell r="BC9">
            <v>0</v>
          </cell>
          <cell r="BF9">
            <v>882</v>
          </cell>
          <cell r="BG9">
            <v>0</v>
          </cell>
          <cell r="BJ9">
            <v>9820</v>
          </cell>
          <cell r="BK9">
            <v>2197</v>
          </cell>
          <cell r="BN9">
            <v>7623</v>
          </cell>
        </row>
        <row r="10">
          <cell r="B10" t="str">
            <v>Tecnologia da Informação</v>
          </cell>
          <cell r="E10" t="str">
            <v>Software e Licenças</v>
          </cell>
          <cell r="N10">
            <v>6445</v>
          </cell>
          <cell r="O10">
            <v>10278.01</v>
          </cell>
          <cell r="R10">
            <v>6445</v>
          </cell>
          <cell r="S10">
            <v>9745.5400000000009</v>
          </cell>
          <cell r="V10">
            <v>6445</v>
          </cell>
          <cell r="W10">
            <v>9947.43</v>
          </cell>
          <cell r="Z10">
            <v>0</v>
          </cell>
          <cell r="AA10">
            <v>0</v>
          </cell>
          <cell r="AD10">
            <v>6445</v>
          </cell>
          <cell r="AE10">
            <v>0</v>
          </cell>
          <cell r="AH10">
            <v>6445</v>
          </cell>
          <cell r="AI10">
            <v>0</v>
          </cell>
          <cell r="AL10">
            <v>6445</v>
          </cell>
          <cell r="AM10">
            <v>0</v>
          </cell>
          <cell r="AP10">
            <v>6445</v>
          </cell>
          <cell r="AQ10">
            <v>0</v>
          </cell>
          <cell r="AT10">
            <v>6445</v>
          </cell>
          <cell r="AU10">
            <v>0</v>
          </cell>
          <cell r="AX10">
            <v>6445</v>
          </cell>
          <cell r="AY10">
            <v>0</v>
          </cell>
          <cell r="BB10">
            <v>6445</v>
          </cell>
          <cell r="BC10">
            <v>0</v>
          </cell>
          <cell r="BF10">
            <v>6445</v>
          </cell>
          <cell r="BG10">
            <v>0</v>
          </cell>
          <cell r="BJ10">
            <v>70895</v>
          </cell>
          <cell r="BK10">
            <v>29970.980000000003</v>
          </cell>
          <cell r="BN10">
            <v>40924.019999999997</v>
          </cell>
        </row>
        <row r="11">
          <cell r="B11" t="str">
            <v>Tecnologia da Informação</v>
          </cell>
          <cell r="E11" t="str">
            <v>Software e Licenças</v>
          </cell>
          <cell r="N11">
            <v>15042</v>
          </cell>
          <cell r="O11">
            <v>15042</v>
          </cell>
          <cell r="R11">
            <v>15042</v>
          </cell>
          <cell r="S11">
            <v>15042</v>
          </cell>
          <cell r="V11">
            <v>15699</v>
          </cell>
          <cell r="W11">
            <v>15042</v>
          </cell>
          <cell r="Z11">
            <v>15699</v>
          </cell>
          <cell r="AA11">
            <v>15042</v>
          </cell>
          <cell r="AD11">
            <v>15699</v>
          </cell>
          <cell r="AE11">
            <v>0</v>
          </cell>
          <cell r="AH11">
            <v>15699</v>
          </cell>
          <cell r="AI11">
            <v>0</v>
          </cell>
          <cell r="AL11">
            <v>15699</v>
          </cell>
          <cell r="AM11">
            <v>0</v>
          </cell>
          <cell r="AP11">
            <v>15699</v>
          </cell>
          <cell r="AQ11">
            <v>0</v>
          </cell>
          <cell r="AT11">
            <v>15699</v>
          </cell>
          <cell r="AU11">
            <v>0</v>
          </cell>
          <cell r="AX11">
            <v>15699</v>
          </cell>
          <cell r="AY11">
            <v>0</v>
          </cell>
          <cell r="BB11">
            <v>15699</v>
          </cell>
          <cell r="BC11">
            <v>0</v>
          </cell>
          <cell r="BF11">
            <v>15699</v>
          </cell>
          <cell r="BG11">
            <v>0</v>
          </cell>
          <cell r="BJ11">
            <v>187074</v>
          </cell>
          <cell r="BK11">
            <v>60168</v>
          </cell>
          <cell r="BN11">
            <v>126906</v>
          </cell>
        </row>
        <row r="12">
          <cell r="B12" t="str">
            <v>Tecnologia da Informação</v>
          </cell>
          <cell r="E12" t="str">
            <v>Software e Licenças</v>
          </cell>
          <cell r="N12">
            <v>25</v>
          </cell>
          <cell r="O12">
            <v>266.55</v>
          </cell>
          <cell r="R12">
            <v>25</v>
          </cell>
          <cell r="S12">
            <v>259.02999999999997</v>
          </cell>
          <cell r="V12">
            <v>25</v>
          </cell>
          <cell r="W12">
            <v>261.69</v>
          </cell>
          <cell r="Z12">
            <v>25</v>
          </cell>
          <cell r="AA12">
            <v>0</v>
          </cell>
          <cell r="AD12">
            <v>25</v>
          </cell>
          <cell r="AE12">
            <v>0</v>
          </cell>
          <cell r="AH12">
            <v>25</v>
          </cell>
          <cell r="AI12">
            <v>0</v>
          </cell>
          <cell r="AL12">
            <v>25</v>
          </cell>
          <cell r="AM12">
            <v>0</v>
          </cell>
          <cell r="AP12">
            <v>25</v>
          </cell>
          <cell r="AQ12">
            <v>0</v>
          </cell>
          <cell r="AT12">
            <v>25</v>
          </cell>
          <cell r="AU12">
            <v>0</v>
          </cell>
          <cell r="AX12">
            <v>25</v>
          </cell>
          <cell r="AY12">
            <v>0</v>
          </cell>
          <cell r="BB12">
            <v>25</v>
          </cell>
          <cell r="BC12">
            <v>0</v>
          </cell>
          <cell r="BF12">
            <v>25</v>
          </cell>
          <cell r="BG12">
            <v>0</v>
          </cell>
          <cell r="BJ12">
            <v>300</v>
          </cell>
          <cell r="BK12">
            <v>787.27</v>
          </cell>
          <cell r="BN12">
            <v>-487.27</v>
          </cell>
        </row>
        <row r="13">
          <cell r="B13" t="str">
            <v>Tecnologia da Informação</v>
          </cell>
          <cell r="E13" t="str">
            <v>Software e Licenças</v>
          </cell>
          <cell r="N13">
            <v>0</v>
          </cell>
          <cell r="O13">
            <v>0</v>
          </cell>
          <cell r="R13">
            <v>0</v>
          </cell>
          <cell r="S13">
            <v>0</v>
          </cell>
          <cell r="V13">
            <v>0</v>
          </cell>
          <cell r="W13">
            <v>0</v>
          </cell>
          <cell r="Z13">
            <v>0</v>
          </cell>
          <cell r="AA13">
            <v>2618.5</v>
          </cell>
          <cell r="AD13">
            <v>0</v>
          </cell>
          <cell r="AE13">
            <v>0</v>
          </cell>
          <cell r="AH13">
            <v>0</v>
          </cell>
          <cell r="AI13">
            <v>0</v>
          </cell>
          <cell r="AL13">
            <v>0</v>
          </cell>
          <cell r="AM13">
            <v>0</v>
          </cell>
          <cell r="AP13">
            <v>0</v>
          </cell>
          <cell r="AQ13">
            <v>0</v>
          </cell>
          <cell r="AT13">
            <v>0</v>
          </cell>
          <cell r="AU13">
            <v>0</v>
          </cell>
          <cell r="AX13">
            <v>0</v>
          </cell>
          <cell r="AY13">
            <v>0</v>
          </cell>
          <cell r="BB13">
            <v>0</v>
          </cell>
          <cell r="BC13">
            <v>0</v>
          </cell>
          <cell r="BF13">
            <v>0</v>
          </cell>
          <cell r="BG13">
            <v>0</v>
          </cell>
          <cell r="BJ13">
            <v>0</v>
          </cell>
          <cell r="BK13">
            <v>2618.5</v>
          </cell>
          <cell r="BN13">
            <v>-2618.5</v>
          </cell>
        </row>
        <row r="14">
          <cell r="B14" t="str">
            <v>Tecnologia da Informação</v>
          </cell>
          <cell r="E14" t="str">
            <v>Software e Licenças</v>
          </cell>
          <cell r="N14">
            <v>0</v>
          </cell>
          <cell r="O14">
            <v>0</v>
          </cell>
          <cell r="R14">
            <v>0</v>
          </cell>
          <cell r="S14">
            <v>0</v>
          </cell>
          <cell r="V14">
            <v>0</v>
          </cell>
          <cell r="W14">
            <v>1416.44</v>
          </cell>
          <cell r="Z14">
            <v>0</v>
          </cell>
          <cell r="AA14">
            <v>0</v>
          </cell>
          <cell r="AD14">
            <v>0</v>
          </cell>
          <cell r="AE14">
            <v>0</v>
          </cell>
          <cell r="AH14">
            <v>0</v>
          </cell>
          <cell r="AI14">
            <v>0</v>
          </cell>
          <cell r="AL14">
            <v>0</v>
          </cell>
          <cell r="AM14">
            <v>0</v>
          </cell>
          <cell r="AP14">
            <v>0</v>
          </cell>
          <cell r="AQ14">
            <v>0</v>
          </cell>
          <cell r="AT14">
            <v>0</v>
          </cell>
          <cell r="AU14">
            <v>0</v>
          </cell>
          <cell r="AX14">
            <v>0</v>
          </cell>
          <cell r="AY14">
            <v>0</v>
          </cell>
          <cell r="BB14">
            <v>0</v>
          </cell>
          <cell r="BC14">
            <v>0</v>
          </cell>
          <cell r="BF14">
            <v>0</v>
          </cell>
          <cell r="BG14">
            <v>0</v>
          </cell>
          <cell r="BJ14">
            <v>0</v>
          </cell>
          <cell r="BK14">
            <v>1416.44</v>
          </cell>
          <cell r="BN14">
            <v>-1416.44</v>
          </cell>
        </row>
        <row r="15">
          <cell r="B15" t="str">
            <v>Tecnologia da Informação</v>
          </cell>
          <cell r="E15" t="str">
            <v>Consultoria e Serviços Especializados</v>
          </cell>
          <cell r="N15">
            <v>103800</v>
          </cell>
          <cell r="O15">
            <v>50000</v>
          </cell>
          <cell r="R15">
            <v>103800</v>
          </cell>
          <cell r="S15">
            <v>86401</v>
          </cell>
          <cell r="V15">
            <v>103800</v>
          </cell>
          <cell r="W15">
            <v>50000</v>
          </cell>
          <cell r="Z15">
            <v>103800</v>
          </cell>
          <cell r="AA15">
            <v>0</v>
          </cell>
          <cell r="AD15">
            <v>103800</v>
          </cell>
          <cell r="AE15">
            <v>0</v>
          </cell>
          <cell r="AH15">
            <v>103800</v>
          </cell>
          <cell r="AI15">
            <v>0</v>
          </cell>
          <cell r="AL15">
            <v>144817.32999999999</v>
          </cell>
          <cell r="AM15">
            <v>0</v>
          </cell>
          <cell r="AP15">
            <v>144817.32999999999</v>
          </cell>
          <cell r="AQ15">
            <v>0</v>
          </cell>
          <cell r="AT15">
            <v>144817.32999999999</v>
          </cell>
          <cell r="AU15">
            <v>0</v>
          </cell>
          <cell r="AX15">
            <v>144817.32999999999</v>
          </cell>
          <cell r="AY15">
            <v>0</v>
          </cell>
          <cell r="BB15">
            <v>144817.32999999999</v>
          </cell>
          <cell r="BC15">
            <v>0</v>
          </cell>
          <cell r="BF15">
            <v>144817.32999999999</v>
          </cell>
          <cell r="BG15">
            <v>0</v>
          </cell>
          <cell r="BJ15">
            <v>1491703.98</v>
          </cell>
          <cell r="BK15">
            <v>186401</v>
          </cell>
          <cell r="BN15">
            <v>1305302.98</v>
          </cell>
        </row>
        <row r="16">
          <cell r="B16" t="str">
            <v>Tecnologia da Informação</v>
          </cell>
          <cell r="E16" t="str">
            <v>Software e Licenças</v>
          </cell>
          <cell r="N16">
            <v>0</v>
          </cell>
          <cell r="O16">
            <v>0</v>
          </cell>
          <cell r="R16">
            <v>0</v>
          </cell>
          <cell r="S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D16">
            <v>0</v>
          </cell>
          <cell r="AE16">
            <v>0</v>
          </cell>
          <cell r="AH16">
            <v>0</v>
          </cell>
          <cell r="AI16">
            <v>0</v>
          </cell>
          <cell r="AL16">
            <v>0</v>
          </cell>
          <cell r="AM16">
            <v>0</v>
          </cell>
          <cell r="AP16">
            <v>0</v>
          </cell>
          <cell r="AQ16">
            <v>0</v>
          </cell>
          <cell r="AT16">
            <v>0</v>
          </cell>
          <cell r="AU16">
            <v>0</v>
          </cell>
          <cell r="AX16">
            <v>0</v>
          </cell>
          <cell r="AY16">
            <v>0</v>
          </cell>
          <cell r="BB16">
            <v>0</v>
          </cell>
          <cell r="BC16">
            <v>0</v>
          </cell>
          <cell r="BF16">
            <v>0</v>
          </cell>
          <cell r="BG16">
            <v>0</v>
          </cell>
          <cell r="BJ16">
            <v>0</v>
          </cell>
          <cell r="BK16">
            <v>0</v>
          </cell>
          <cell r="BN16">
            <v>0</v>
          </cell>
        </row>
        <row r="17">
          <cell r="B17" t="str">
            <v>Tecnologia da Informação</v>
          </cell>
          <cell r="E17" t="str">
            <v>Software e Licenças</v>
          </cell>
          <cell r="N17">
            <v>0</v>
          </cell>
          <cell r="O17">
            <v>0</v>
          </cell>
          <cell r="R17">
            <v>0</v>
          </cell>
          <cell r="S17">
            <v>0</v>
          </cell>
          <cell r="V17">
            <v>0</v>
          </cell>
          <cell r="W17">
            <v>0</v>
          </cell>
          <cell r="Z17">
            <v>0</v>
          </cell>
          <cell r="AA17">
            <v>0</v>
          </cell>
          <cell r="AD17">
            <v>0</v>
          </cell>
          <cell r="AE17">
            <v>0</v>
          </cell>
          <cell r="AH17">
            <v>0</v>
          </cell>
          <cell r="AI17">
            <v>0</v>
          </cell>
          <cell r="AL17">
            <v>0</v>
          </cell>
          <cell r="AM17">
            <v>0</v>
          </cell>
          <cell r="AP17">
            <v>0</v>
          </cell>
          <cell r="AT17">
            <v>0</v>
          </cell>
          <cell r="AU17">
            <v>0</v>
          </cell>
          <cell r="AX17">
            <v>0</v>
          </cell>
          <cell r="AY17">
            <v>0</v>
          </cell>
          <cell r="BB17">
            <v>0</v>
          </cell>
          <cell r="BC17">
            <v>0</v>
          </cell>
          <cell r="BF17">
            <v>0</v>
          </cell>
          <cell r="BG17">
            <v>0</v>
          </cell>
          <cell r="BJ17">
            <v>0</v>
          </cell>
          <cell r="BK17">
            <v>0</v>
          </cell>
          <cell r="BN17">
            <v>0</v>
          </cell>
        </row>
        <row r="18">
          <cell r="B18" t="str">
            <v>Tecnologia da Informação</v>
          </cell>
          <cell r="E18" t="str">
            <v>Software e Licenças</v>
          </cell>
          <cell r="N18">
            <v>0</v>
          </cell>
          <cell r="O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Z18">
            <v>0</v>
          </cell>
          <cell r="AA18">
            <v>0</v>
          </cell>
          <cell r="AD18">
            <v>0</v>
          </cell>
          <cell r="AE18">
            <v>0</v>
          </cell>
          <cell r="AH18">
            <v>0</v>
          </cell>
          <cell r="AI18">
            <v>0</v>
          </cell>
          <cell r="AL18">
            <v>0</v>
          </cell>
          <cell r="AM18">
            <v>0</v>
          </cell>
          <cell r="AP18">
            <v>0</v>
          </cell>
          <cell r="AQ18">
            <v>0</v>
          </cell>
          <cell r="AT18">
            <v>0</v>
          </cell>
          <cell r="AU18">
            <v>0</v>
          </cell>
          <cell r="AX18">
            <v>0</v>
          </cell>
          <cell r="AY18">
            <v>0</v>
          </cell>
          <cell r="BB18">
            <v>0</v>
          </cell>
          <cell r="BC18">
            <v>0</v>
          </cell>
          <cell r="BF18">
            <v>0</v>
          </cell>
          <cell r="BG18">
            <v>0</v>
          </cell>
          <cell r="BJ18">
            <v>0</v>
          </cell>
          <cell r="BK18">
            <v>0</v>
          </cell>
          <cell r="BN18">
            <v>0</v>
          </cell>
        </row>
        <row r="19">
          <cell r="B19" t="str">
            <v>Tecnologia da Informação</v>
          </cell>
          <cell r="E19" t="str">
            <v>Consultoria e Serviços Especializados</v>
          </cell>
          <cell r="N19">
            <v>0</v>
          </cell>
          <cell r="R19">
            <v>0</v>
          </cell>
          <cell r="V19">
            <v>52800</v>
          </cell>
          <cell r="W19">
            <v>0</v>
          </cell>
          <cell r="Z19">
            <v>52800</v>
          </cell>
          <cell r="AD19">
            <v>52800</v>
          </cell>
          <cell r="AH19">
            <v>52800</v>
          </cell>
          <cell r="AL19">
            <v>52800</v>
          </cell>
          <cell r="BJ19">
            <v>264000</v>
          </cell>
          <cell r="BK19">
            <v>0</v>
          </cell>
          <cell r="BN19">
            <v>264000</v>
          </cell>
        </row>
        <row r="20">
          <cell r="B20" t="str">
            <v>Tecnologia da Informação</v>
          </cell>
          <cell r="E20" t="str">
            <v>Software e Licenças</v>
          </cell>
          <cell r="N20">
            <v>0</v>
          </cell>
          <cell r="O20">
            <v>271.8</v>
          </cell>
          <cell r="R20">
            <v>0</v>
          </cell>
          <cell r="S20">
            <v>0</v>
          </cell>
          <cell r="V20">
            <v>0</v>
          </cell>
          <cell r="W20">
            <v>52.28</v>
          </cell>
          <cell r="Z20">
            <v>0</v>
          </cell>
          <cell r="AA20">
            <v>0</v>
          </cell>
          <cell r="AD20">
            <v>5000</v>
          </cell>
          <cell r="AE20">
            <v>0</v>
          </cell>
          <cell r="AH20">
            <v>0</v>
          </cell>
          <cell r="AI20">
            <v>0</v>
          </cell>
          <cell r="AL20">
            <v>0</v>
          </cell>
          <cell r="AM20">
            <v>0</v>
          </cell>
          <cell r="AP20">
            <v>0</v>
          </cell>
          <cell r="AQ20">
            <v>0</v>
          </cell>
          <cell r="AT20">
            <v>0</v>
          </cell>
          <cell r="AU20">
            <v>0</v>
          </cell>
          <cell r="AX20">
            <v>5000</v>
          </cell>
          <cell r="AY20">
            <v>0</v>
          </cell>
          <cell r="BB20">
            <v>0</v>
          </cell>
          <cell r="BC20">
            <v>0</v>
          </cell>
          <cell r="BF20">
            <v>0</v>
          </cell>
          <cell r="BG20">
            <v>0</v>
          </cell>
          <cell r="BJ20">
            <v>10000</v>
          </cell>
          <cell r="BK20">
            <v>324.08000000000004</v>
          </cell>
          <cell r="BN20">
            <v>9675.92</v>
          </cell>
        </row>
        <row r="21">
          <cell r="B21" t="str">
            <v>Tecnologia da Informação</v>
          </cell>
          <cell r="E21" t="str">
            <v>Software e Licenças</v>
          </cell>
          <cell r="N21">
            <v>1600</v>
          </cell>
          <cell r="O21">
            <v>1728</v>
          </cell>
          <cell r="R21">
            <v>1600</v>
          </cell>
          <cell r="S21">
            <v>1728</v>
          </cell>
          <cell r="V21">
            <v>1670</v>
          </cell>
          <cell r="W21">
            <v>1728</v>
          </cell>
          <cell r="Z21">
            <v>1670</v>
          </cell>
          <cell r="AA21">
            <v>0</v>
          </cell>
          <cell r="AD21">
            <v>3340</v>
          </cell>
          <cell r="AE21">
            <v>0</v>
          </cell>
          <cell r="AH21">
            <v>3340</v>
          </cell>
          <cell r="AI21">
            <v>0</v>
          </cell>
          <cell r="AL21">
            <v>3340</v>
          </cell>
          <cell r="AM21">
            <v>0</v>
          </cell>
          <cell r="AP21">
            <v>3340</v>
          </cell>
          <cell r="AT21">
            <v>3340</v>
          </cell>
          <cell r="AU21">
            <v>0</v>
          </cell>
          <cell r="AX21">
            <v>3340</v>
          </cell>
          <cell r="AY21">
            <v>0</v>
          </cell>
          <cell r="BB21">
            <v>3340</v>
          </cell>
          <cell r="BC21">
            <v>0</v>
          </cell>
          <cell r="BF21">
            <v>3340</v>
          </cell>
          <cell r="BG21">
            <v>0</v>
          </cell>
          <cell r="BJ21">
            <v>33260</v>
          </cell>
          <cell r="BK21">
            <v>5184</v>
          </cell>
          <cell r="BN21">
            <v>28076</v>
          </cell>
        </row>
        <row r="22">
          <cell r="B22" t="str">
            <v>Tecnologia da Informação</v>
          </cell>
          <cell r="E22" t="str">
            <v>Service Desk e Suporte</v>
          </cell>
          <cell r="N22">
            <v>3200</v>
          </cell>
          <cell r="O22">
            <v>0</v>
          </cell>
          <cell r="R22">
            <v>3200</v>
          </cell>
          <cell r="S22">
            <v>0</v>
          </cell>
          <cell r="V22">
            <v>3200</v>
          </cell>
          <cell r="W22">
            <v>0</v>
          </cell>
          <cell r="Z22">
            <v>3200</v>
          </cell>
          <cell r="AA22">
            <v>0</v>
          </cell>
          <cell r="AD22">
            <v>3200</v>
          </cell>
          <cell r="AE22">
            <v>0</v>
          </cell>
          <cell r="AH22">
            <v>3200</v>
          </cell>
          <cell r="AI22">
            <v>0</v>
          </cell>
          <cell r="AL22">
            <v>3200</v>
          </cell>
          <cell r="AM22">
            <v>0</v>
          </cell>
          <cell r="AP22">
            <v>3200</v>
          </cell>
          <cell r="AQ22">
            <v>0</v>
          </cell>
          <cell r="AT22">
            <v>3200</v>
          </cell>
          <cell r="AU22">
            <v>0</v>
          </cell>
          <cell r="AX22">
            <v>3200</v>
          </cell>
          <cell r="AY22">
            <v>0</v>
          </cell>
          <cell r="BB22">
            <v>3200</v>
          </cell>
          <cell r="BC22">
            <v>0</v>
          </cell>
          <cell r="BF22">
            <v>3200</v>
          </cell>
          <cell r="BG22">
            <v>0</v>
          </cell>
          <cell r="BJ22">
            <v>38400</v>
          </cell>
          <cell r="BK22">
            <v>0</v>
          </cell>
          <cell r="BN22">
            <v>38400</v>
          </cell>
        </row>
        <row r="23">
          <cell r="B23" t="str">
            <v>Tecnologia da Informação</v>
          </cell>
          <cell r="E23" t="str">
            <v>Consultoria e Serviços Especializados</v>
          </cell>
          <cell r="N23">
            <v>7220</v>
          </cell>
          <cell r="O23">
            <v>7666.7</v>
          </cell>
          <cell r="R23">
            <v>7220</v>
          </cell>
          <cell r="S23">
            <v>7666.7</v>
          </cell>
          <cell r="V23">
            <v>7220</v>
          </cell>
          <cell r="W23">
            <v>4466.7</v>
          </cell>
          <cell r="Z23">
            <v>7220</v>
          </cell>
          <cell r="AA23">
            <v>0</v>
          </cell>
          <cell r="AD23">
            <v>7220</v>
          </cell>
          <cell r="AE23">
            <v>0</v>
          </cell>
          <cell r="AH23">
            <v>7220</v>
          </cell>
          <cell r="AI23">
            <v>0</v>
          </cell>
          <cell r="AL23">
            <v>0</v>
          </cell>
          <cell r="AM23">
            <v>0</v>
          </cell>
          <cell r="AP23">
            <v>0</v>
          </cell>
          <cell r="AQ23">
            <v>0</v>
          </cell>
          <cell r="AT23">
            <v>0</v>
          </cell>
          <cell r="AU23">
            <v>0</v>
          </cell>
          <cell r="AX23">
            <v>0</v>
          </cell>
          <cell r="AY23">
            <v>0</v>
          </cell>
          <cell r="BB23">
            <v>0</v>
          </cell>
          <cell r="BC23">
            <v>0</v>
          </cell>
          <cell r="BF23">
            <v>0</v>
          </cell>
          <cell r="BG23">
            <v>0</v>
          </cell>
          <cell r="BJ23">
            <v>43320</v>
          </cell>
          <cell r="BK23">
            <v>19800.099999999999</v>
          </cell>
          <cell r="BN23">
            <v>23519.9</v>
          </cell>
        </row>
        <row r="24">
          <cell r="B24" t="str">
            <v>Tecnologia da Informação</v>
          </cell>
          <cell r="E24" t="str">
            <v>Consultoria e Serviços Especializados</v>
          </cell>
          <cell r="N24">
            <v>25859</v>
          </cell>
          <cell r="O24">
            <v>24776</v>
          </cell>
          <cell r="R24">
            <v>25859</v>
          </cell>
          <cell r="S24">
            <v>24776</v>
          </cell>
          <cell r="V24">
            <v>25859</v>
          </cell>
          <cell r="W24">
            <v>18042</v>
          </cell>
          <cell r="Z24">
            <v>0</v>
          </cell>
          <cell r="AA24">
            <v>0</v>
          </cell>
          <cell r="AD24">
            <v>0</v>
          </cell>
          <cell r="AE24">
            <v>0</v>
          </cell>
          <cell r="AH24">
            <v>0</v>
          </cell>
          <cell r="AI24">
            <v>0</v>
          </cell>
          <cell r="AL24">
            <v>0</v>
          </cell>
          <cell r="AM24">
            <v>0</v>
          </cell>
          <cell r="AP24">
            <v>0</v>
          </cell>
          <cell r="AQ24">
            <v>0</v>
          </cell>
          <cell r="AT24">
            <v>0</v>
          </cell>
          <cell r="AU24">
            <v>0</v>
          </cell>
          <cell r="AX24">
            <v>0</v>
          </cell>
          <cell r="AY24">
            <v>0</v>
          </cell>
          <cell r="BB24">
            <v>0</v>
          </cell>
          <cell r="BC24">
            <v>0</v>
          </cell>
          <cell r="BF24">
            <v>0</v>
          </cell>
          <cell r="BG24">
            <v>0</v>
          </cell>
          <cell r="BJ24">
            <v>77577</v>
          </cell>
          <cell r="BK24">
            <v>67594</v>
          </cell>
          <cell r="BN24">
            <v>9983</v>
          </cell>
        </row>
        <row r="25">
          <cell r="B25" t="str">
            <v>Tecnologia da Informação</v>
          </cell>
          <cell r="E25" t="str">
            <v>Software e Licenças</v>
          </cell>
          <cell r="N25">
            <v>4090</v>
          </cell>
          <cell r="O25">
            <v>8975.25</v>
          </cell>
          <cell r="R25">
            <v>4090</v>
          </cell>
          <cell r="S25">
            <v>8975.25</v>
          </cell>
          <cell r="V25">
            <v>4090</v>
          </cell>
          <cell r="W25">
            <v>5981.09</v>
          </cell>
          <cell r="Z25">
            <v>4090</v>
          </cell>
          <cell r="AA25">
            <v>0</v>
          </cell>
          <cell r="AD25">
            <v>4090</v>
          </cell>
          <cell r="AE25">
            <v>0</v>
          </cell>
          <cell r="AH25">
            <v>4090</v>
          </cell>
          <cell r="AI25">
            <v>0</v>
          </cell>
          <cell r="AL25">
            <v>4090</v>
          </cell>
          <cell r="AM25">
            <v>0</v>
          </cell>
          <cell r="AP25">
            <v>4090</v>
          </cell>
          <cell r="AQ25">
            <v>0</v>
          </cell>
          <cell r="AT25">
            <v>4090</v>
          </cell>
          <cell r="AU25">
            <v>0</v>
          </cell>
          <cell r="AX25">
            <v>4090</v>
          </cell>
          <cell r="AY25">
            <v>0</v>
          </cell>
          <cell r="BB25">
            <v>4090</v>
          </cell>
          <cell r="BC25">
            <v>0</v>
          </cell>
          <cell r="BF25">
            <v>4090</v>
          </cell>
          <cell r="BG25">
            <v>0</v>
          </cell>
          <cell r="BJ25">
            <v>49080</v>
          </cell>
          <cell r="BK25">
            <v>23931.59</v>
          </cell>
          <cell r="BN25">
            <v>25148.41</v>
          </cell>
        </row>
        <row r="26">
          <cell r="B26" t="str">
            <v>Tecnologia da Informação</v>
          </cell>
          <cell r="E26" t="str">
            <v>Software e Licenças</v>
          </cell>
          <cell r="N26">
            <v>3360</v>
          </cell>
          <cell r="O26">
            <v>482</v>
          </cell>
          <cell r="R26">
            <v>3360</v>
          </cell>
          <cell r="S26">
            <v>497</v>
          </cell>
          <cell r="V26">
            <v>3360</v>
          </cell>
          <cell r="W26">
            <v>52.97</v>
          </cell>
          <cell r="Z26">
            <v>0</v>
          </cell>
          <cell r="AA26">
            <v>0</v>
          </cell>
          <cell r="AD26">
            <v>3360</v>
          </cell>
          <cell r="AE26">
            <v>0</v>
          </cell>
          <cell r="AH26">
            <v>3360</v>
          </cell>
          <cell r="AI26">
            <v>0</v>
          </cell>
          <cell r="AL26">
            <v>3360</v>
          </cell>
          <cell r="AM26">
            <v>0</v>
          </cell>
          <cell r="AP26">
            <v>3360</v>
          </cell>
          <cell r="AQ26">
            <v>0</v>
          </cell>
          <cell r="AT26">
            <v>3360</v>
          </cell>
          <cell r="AU26">
            <v>0</v>
          </cell>
          <cell r="AX26">
            <v>3360</v>
          </cell>
          <cell r="AY26">
            <v>0</v>
          </cell>
          <cell r="BB26">
            <v>3360</v>
          </cell>
          <cell r="BC26">
            <v>0</v>
          </cell>
          <cell r="BF26">
            <v>3360</v>
          </cell>
          <cell r="BG26">
            <v>0</v>
          </cell>
          <cell r="BJ26">
            <v>36960</v>
          </cell>
          <cell r="BK26">
            <v>1031.97</v>
          </cell>
          <cell r="BN26">
            <v>35928.03</v>
          </cell>
        </row>
        <row r="27">
          <cell r="B27" t="str">
            <v>Tecnologia da Informação</v>
          </cell>
          <cell r="E27" t="str">
            <v>Software e Licenças</v>
          </cell>
          <cell r="N27">
            <v>53600</v>
          </cell>
          <cell r="O27">
            <v>66804.11</v>
          </cell>
          <cell r="R27">
            <v>53600</v>
          </cell>
          <cell r="S27">
            <v>61682</v>
          </cell>
          <cell r="V27">
            <v>53600</v>
          </cell>
          <cell r="W27">
            <v>61682</v>
          </cell>
          <cell r="Z27">
            <v>53600</v>
          </cell>
          <cell r="AA27">
            <v>0</v>
          </cell>
          <cell r="AD27">
            <v>53600</v>
          </cell>
          <cell r="AE27">
            <v>0</v>
          </cell>
          <cell r="AH27">
            <v>53600</v>
          </cell>
          <cell r="AI27">
            <v>0</v>
          </cell>
          <cell r="AL27">
            <v>53600</v>
          </cell>
          <cell r="AM27">
            <v>0</v>
          </cell>
          <cell r="AP27">
            <v>53600</v>
          </cell>
          <cell r="AQ27">
            <v>0</v>
          </cell>
          <cell r="AT27">
            <v>53600</v>
          </cell>
          <cell r="AU27">
            <v>0</v>
          </cell>
          <cell r="AX27">
            <v>53600</v>
          </cell>
          <cell r="AY27">
            <v>0</v>
          </cell>
          <cell r="BB27">
            <v>53600</v>
          </cell>
          <cell r="BC27">
            <v>0</v>
          </cell>
          <cell r="BF27">
            <v>53600</v>
          </cell>
          <cell r="BG27">
            <v>0</v>
          </cell>
          <cell r="BJ27">
            <v>643200</v>
          </cell>
          <cell r="BK27">
            <v>190168.11</v>
          </cell>
          <cell r="BN27">
            <v>453031.89</v>
          </cell>
        </row>
        <row r="28">
          <cell r="B28" t="str">
            <v>Tecnologia da Informação</v>
          </cell>
          <cell r="E28" t="str">
            <v>Software e Licenças</v>
          </cell>
          <cell r="N28">
            <v>1300</v>
          </cell>
          <cell r="O28">
            <v>2037.07</v>
          </cell>
          <cell r="R28">
            <v>1300</v>
          </cell>
          <cell r="S28">
            <v>2172.0700000000002</v>
          </cell>
          <cell r="V28">
            <v>1300</v>
          </cell>
          <cell r="W28">
            <v>2208.6</v>
          </cell>
          <cell r="Z28">
            <v>1300</v>
          </cell>
          <cell r="AA28">
            <v>0</v>
          </cell>
          <cell r="AD28">
            <v>1300</v>
          </cell>
          <cell r="AE28">
            <v>0</v>
          </cell>
          <cell r="AH28">
            <v>1300</v>
          </cell>
          <cell r="AI28">
            <v>0</v>
          </cell>
          <cell r="AL28">
            <v>1300</v>
          </cell>
          <cell r="AM28">
            <v>0</v>
          </cell>
          <cell r="AP28">
            <v>1300</v>
          </cell>
          <cell r="AQ28">
            <v>0</v>
          </cell>
          <cell r="AT28">
            <v>1300</v>
          </cell>
          <cell r="AU28">
            <v>0</v>
          </cell>
          <cell r="AX28">
            <v>1300</v>
          </cell>
          <cell r="AY28">
            <v>0</v>
          </cell>
          <cell r="BB28">
            <v>1300</v>
          </cell>
          <cell r="BC28">
            <v>0</v>
          </cell>
          <cell r="BF28">
            <v>1300</v>
          </cell>
          <cell r="BG28">
            <v>0</v>
          </cell>
          <cell r="BJ28">
            <v>15600</v>
          </cell>
          <cell r="BK28">
            <v>6417.74</v>
          </cell>
          <cell r="BN28">
            <v>9182.26</v>
          </cell>
        </row>
        <row r="29">
          <cell r="B29" t="str">
            <v>Tecnologia da Informação</v>
          </cell>
          <cell r="E29" t="str">
            <v>Software e Licenças</v>
          </cell>
          <cell r="N29">
            <v>0</v>
          </cell>
          <cell r="O29">
            <v>610.79999999999995</v>
          </cell>
          <cell r="R29">
            <v>0</v>
          </cell>
          <cell r="S29">
            <v>0</v>
          </cell>
          <cell r="W29">
            <v>0</v>
          </cell>
          <cell r="Z29">
            <v>0</v>
          </cell>
          <cell r="AA29">
            <v>0</v>
          </cell>
          <cell r="AD29">
            <v>0</v>
          </cell>
          <cell r="AE29">
            <v>0</v>
          </cell>
          <cell r="AH29">
            <v>0</v>
          </cell>
          <cell r="AI29" t="str">
            <v>RENOVAÇÃO</v>
          </cell>
          <cell r="AL29">
            <v>0</v>
          </cell>
          <cell r="AM29">
            <v>0</v>
          </cell>
          <cell r="AP29">
            <v>0</v>
          </cell>
          <cell r="AQ29">
            <v>0</v>
          </cell>
          <cell r="AT29">
            <v>0</v>
          </cell>
          <cell r="AU29">
            <v>0</v>
          </cell>
          <cell r="AX29">
            <v>0</v>
          </cell>
          <cell r="AY29">
            <v>0</v>
          </cell>
          <cell r="BB29">
            <v>0</v>
          </cell>
          <cell r="BC29">
            <v>0</v>
          </cell>
          <cell r="BF29">
            <v>0</v>
          </cell>
          <cell r="BG29">
            <v>0</v>
          </cell>
          <cell r="BJ29">
            <v>0</v>
          </cell>
          <cell r="BK29">
            <v>610.79999999999995</v>
          </cell>
          <cell r="BN29">
            <v>-610.79999999999995</v>
          </cell>
        </row>
        <row r="30">
          <cell r="B30" t="str">
            <v>Tecnologia da Informação</v>
          </cell>
          <cell r="E30" t="str">
            <v>Consultoria e Serviços Especializados</v>
          </cell>
          <cell r="N30">
            <v>35000</v>
          </cell>
          <cell r="O30">
            <v>0</v>
          </cell>
          <cell r="R30">
            <v>35000</v>
          </cell>
          <cell r="S30">
            <v>10000</v>
          </cell>
          <cell r="V30">
            <v>35000</v>
          </cell>
          <cell r="W30">
            <v>23750</v>
          </cell>
          <cell r="Z30">
            <v>35000</v>
          </cell>
          <cell r="AA30">
            <v>0</v>
          </cell>
          <cell r="AD30">
            <v>35000</v>
          </cell>
          <cell r="AE30">
            <v>0</v>
          </cell>
          <cell r="AH30">
            <v>35000</v>
          </cell>
          <cell r="AI30">
            <v>0</v>
          </cell>
          <cell r="AL30">
            <v>35000</v>
          </cell>
          <cell r="AM30">
            <v>0</v>
          </cell>
          <cell r="AP30">
            <v>35000</v>
          </cell>
          <cell r="AQ30">
            <v>0</v>
          </cell>
          <cell r="AT30">
            <v>35000</v>
          </cell>
          <cell r="AU30">
            <v>0</v>
          </cell>
          <cell r="AX30">
            <v>35000</v>
          </cell>
          <cell r="AY30">
            <v>0</v>
          </cell>
          <cell r="BB30">
            <v>35000</v>
          </cell>
          <cell r="BC30">
            <v>0</v>
          </cell>
          <cell r="BF30">
            <v>35000</v>
          </cell>
          <cell r="BG30">
            <v>0</v>
          </cell>
          <cell r="BJ30">
            <v>420000</v>
          </cell>
          <cell r="BK30">
            <v>33750</v>
          </cell>
          <cell r="BN30">
            <v>386250</v>
          </cell>
        </row>
        <row r="31">
          <cell r="B31" t="str">
            <v>Tecnologia da Informação</v>
          </cell>
          <cell r="E31" t="str">
            <v>Software e Licenças</v>
          </cell>
          <cell r="N31">
            <v>0</v>
          </cell>
          <cell r="O31">
            <v>0</v>
          </cell>
          <cell r="R31">
            <v>0</v>
          </cell>
          <cell r="S31">
            <v>0</v>
          </cell>
          <cell r="V31">
            <v>0</v>
          </cell>
          <cell r="W31">
            <v>0</v>
          </cell>
          <cell r="Z31">
            <v>0</v>
          </cell>
          <cell r="AA31">
            <v>0</v>
          </cell>
          <cell r="AD31">
            <v>0</v>
          </cell>
          <cell r="AE31">
            <v>0</v>
          </cell>
          <cell r="AH31">
            <v>2027</v>
          </cell>
          <cell r="AI31">
            <v>0</v>
          </cell>
          <cell r="AL31">
            <v>0</v>
          </cell>
          <cell r="AM31">
            <v>0</v>
          </cell>
          <cell r="AP31">
            <v>0</v>
          </cell>
          <cell r="AT31">
            <v>0</v>
          </cell>
          <cell r="AU31">
            <v>0</v>
          </cell>
          <cell r="AX31">
            <v>0</v>
          </cell>
          <cell r="AY31">
            <v>0</v>
          </cell>
          <cell r="BB31">
            <v>0</v>
          </cell>
          <cell r="BC31">
            <v>0</v>
          </cell>
          <cell r="BF31">
            <v>0</v>
          </cell>
          <cell r="BG31">
            <v>0</v>
          </cell>
          <cell r="BJ31">
            <v>2027</v>
          </cell>
          <cell r="BK31">
            <v>0</v>
          </cell>
          <cell r="BN31">
            <v>2027</v>
          </cell>
        </row>
        <row r="32">
          <cell r="B32" t="str">
            <v>Tecnologia da Informação</v>
          </cell>
          <cell r="E32" t="str">
            <v>Software e Licenças</v>
          </cell>
          <cell r="N32">
            <v>0</v>
          </cell>
          <cell r="O32">
            <v>0</v>
          </cell>
          <cell r="R32">
            <v>0</v>
          </cell>
          <cell r="S32">
            <v>0</v>
          </cell>
          <cell r="V32">
            <v>0</v>
          </cell>
          <cell r="W32">
            <v>0</v>
          </cell>
          <cell r="Z32">
            <v>0</v>
          </cell>
          <cell r="AA32">
            <v>0</v>
          </cell>
          <cell r="AD32">
            <v>0</v>
          </cell>
          <cell r="AE32">
            <v>0</v>
          </cell>
          <cell r="AH32">
            <v>0</v>
          </cell>
          <cell r="AI32">
            <v>0</v>
          </cell>
          <cell r="AL32">
            <v>1600</v>
          </cell>
          <cell r="AM32">
            <v>0</v>
          </cell>
          <cell r="AP32">
            <v>1600</v>
          </cell>
          <cell r="AQ32">
            <v>0</v>
          </cell>
          <cell r="AT32">
            <v>1600</v>
          </cell>
          <cell r="AU32">
            <v>0</v>
          </cell>
          <cell r="AX32">
            <v>1600</v>
          </cell>
          <cell r="AY32">
            <v>0</v>
          </cell>
          <cell r="BB32">
            <v>1600</v>
          </cell>
          <cell r="BC32">
            <v>0</v>
          </cell>
          <cell r="BF32">
            <v>1600</v>
          </cell>
          <cell r="BG32">
            <v>0</v>
          </cell>
          <cell r="BJ32">
            <v>9600</v>
          </cell>
          <cell r="BK32">
            <v>0</v>
          </cell>
          <cell r="BN32">
            <v>9600</v>
          </cell>
        </row>
        <row r="33">
          <cell r="B33" t="str">
            <v>Tecnologia da Informação</v>
          </cell>
          <cell r="E33" t="str">
            <v>Consultoria e Serviços Especializados</v>
          </cell>
          <cell r="N33">
            <v>0</v>
          </cell>
          <cell r="O33">
            <v>0</v>
          </cell>
          <cell r="S33">
            <v>0</v>
          </cell>
          <cell r="V33">
            <v>0</v>
          </cell>
          <cell r="W33">
            <v>0</v>
          </cell>
          <cell r="Z33">
            <v>0</v>
          </cell>
          <cell r="AA33">
            <v>0</v>
          </cell>
          <cell r="AD33">
            <v>0</v>
          </cell>
          <cell r="AE33">
            <v>0</v>
          </cell>
          <cell r="AH33">
            <v>0</v>
          </cell>
          <cell r="AI33">
            <v>0</v>
          </cell>
          <cell r="AL33">
            <v>35000</v>
          </cell>
          <cell r="AM33">
            <v>0</v>
          </cell>
          <cell r="AP33">
            <v>0</v>
          </cell>
          <cell r="AQ33">
            <v>0</v>
          </cell>
          <cell r="AT33">
            <v>0</v>
          </cell>
          <cell r="AU33">
            <v>0</v>
          </cell>
          <cell r="AX33">
            <v>0</v>
          </cell>
          <cell r="AY33">
            <v>0</v>
          </cell>
          <cell r="BB33">
            <v>0</v>
          </cell>
          <cell r="BC33">
            <v>0</v>
          </cell>
          <cell r="BF33">
            <v>0</v>
          </cell>
          <cell r="BG33">
            <v>0</v>
          </cell>
          <cell r="BJ33">
            <v>35000</v>
          </cell>
          <cell r="BK33">
            <v>0</v>
          </cell>
          <cell r="BN33">
            <v>35000</v>
          </cell>
        </row>
        <row r="34">
          <cell r="B34" t="str">
            <v>Tecnologia da Informação</v>
          </cell>
          <cell r="E34" t="str">
            <v>Consultoria e Serviços Especializados</v>
          </cell>
          <cell r="N34">
            <v>0</v>
          </cell>
          <cell r="O34">
            <v>0</v>
          </cell>
          <cell r="R34">
            <v>0</v>
          </cell>
          <cell r="S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D34">
            <v>0</v>
          </cell>
          <cell r="AE34">
            <v>0</v>
          </cell>
          <cell r="AH34">
            <v>0</v>
          </cell>
          <cell r="AI34">
            <v>0</v>
          </cell>
          <cell r="AL34">
            <v>0</v>
          </cell>
          <cell r="AM34">
            <v>0</v>
          </cell>
          <cell r="AP34">
            <v>0</v>
          </cell>
          <cell r="AT34">
            <v>0</v>
          </cell>
          <cell r="AU34">
            <v>0</v>
          </cell>
          <cell r="AX34">
            <v>0</v>
          </cell>
          <cell r="AY34">
            <v>0</v>
          </cell>
          <cell r="BB34">
            <v>0</v>
          </cell>
          <cell r="BC34">
            <v>0</v>
          </cell>
          <cell r="BF34">
            <v>0</v>
          </cell>
          <cell r="BG34">
            <v>0</v>
          </cell>
          <cell r="BJ34">
            <v>0</v>
          </cell>
          <cell r="BK34">
            <v>0</v>
          </cell>
          <cell r="BN34">
            <v>0</v>
          </cell>
        </row>
        <row r="35">
          <cell r="B35" t="str">
            <v>Tecnologia da Informação</v>
          </cell>
          <cell r="E35" t="str">
            <v>Consultoria e Serviços Especializados</v>
          </cell>
          <cell r="N35">
            <v>13420</v>
          </cell>
          <cell r="O35">
            <v>13420</v>
          </cell>
          <cell r="R35">
            <v>13420</v>
          </cell>
          <cell r="S35">
            <v>13420</v>
          </cell>
          <cell r="V35">
            <v>13420</v>
          </cell>
          <cell r="W35">
            <v>13420</v>
          </cell>
          <cell r="Z35">
            <v>4467.78</v>
          </cell>
          <cell r="AA35">
            <v>4467.78</v>
          </cell>
          <cell r="AD35">
            <v>0</v>
          </cell>
          <cell r="AE35">
            <v>0</v>
          </cell>
          <cell r="AH35">
            <v>0</v>
          </cell>
          <cell r="AI35">
            <v>0</v>
          </cell>
          <cell r="AL35">
            <v>140590.53</v>
          </cell>
          <cell r="AM35">
            <v>0</v>
          </cell>
          <cell r="AP35">
            <v>140590.53</v>
          </cell>
          <cell r="AT35">
            <v>140590.53</v>
          </cell>
          <cell r="AU35">
            <v>0</v>
          </cell>
          <cell r="AX35">
            <v>140590.53</v>
          </cell>
          <cell r="AY35">
            <v>0</v>
          </cell>
          <cell r="BB35">
            <v>140590.53</v>
          </cell>
          <cell r="BC35">
            <v>0</v>
          </cell>
          <cell r="BF35">
            <v>140590.53</v>
          </cell>
          <cell r="BG35">
            <v>0</v>
          </cell>
          <cell r="BJ35">
            <v>888270.96000000008</v>
          </cell>
          <cell r="BK35">
            <v>44727.78</v>
          </cell>
          <cell r="BN35">
            <v>843543.18</v>
          </cell>
        </row>
        <row r="36">
          <cell r="B36" t="str">
            <v>Tecnologia da Informação</v>
          </cell>
          <cell r="E36" t="str">
            <v>Software e Licenças</v>
          </cell>
          <cell r="N36">
            <v>3443</v>
          </cell>
          <cell r="O36">
            <v>3251.48</v>
          </cell>
          <cell r="R36">
            <v>3443</v>
          </cell>
          <cell r="S36">
            <v>3543</v>
          </cell>
          <cell r="V36">
            <v>3593</v>
          </cell>
          <cell r="W36">
            <v>6650.6</v>
          </cell>
          <cell r="Z36">
            <v>3593</v>
          </cell>
          <cell r="AA36">
            <v>0</v>
          </cell>
          <cell r="AD36">
            <v>7187</v>
          </cell>
          <cell r="AE36">
            <v>0</v>
          </cell>
          <cell r="AH36">
            <v>7187</v>
          </cell>
          <cell r="AI36">
            <v>0</v>
          </cell>
          <cell r="AL36">
            <v>0</v>
          </cell>
          <cell r="AM36">
            <v>0</v>
          </cell>
          <cell r="AP36">
            <v>0</v>
          </cell>
          <cell r="AT36">
            <v>0</v>
          </cell>
          <cell r="AU36">
            <v>0</v>
          </cell>
          <cell r="AX36">
            <v>0</v>
          </cell>
          <cell r="AY36">
            <v>0</v>
          </cell>
          <cell r="BB36">
            <v>0</v>
          </cell>
          <cell r="BC36">
            <v>0</v>
          </cell>
          <cell r="BF36">
            <v>0</v>
          </cell>
          <cell r="BG36">
            <v>0</v>
          </cell>
          <cell r="BJ36">
            <v>28446</v>
          </cell>
          <cell r="BK36">
            <v>13445.08</v>
          </cell>
          <cell r="BN36">
            <v>15000.92</v>
          </cell>
        </row>
        <row r="37">
          <cell r="B37" t="str">
            <v>Tecnologia da Informação</v>
          </cell>
          <cell r="E37" t="str">
            <v>Software e Licenças</v>
          </cell>
          <cell r="N37">
            <v>2520</v>
          </cell>
          <cell r="O37">
            <v>485.97</v>
          </cell>
          <cell r="R37">
            <v>2520</v>
          </cell>
          <cell r="S37">
            <v>61895</v>
          </cell>
          <cell r="V37">
            <v>2630</v>
          </cell>
          <cell r="W37">
            <v>7632.83</v>
          </cell>
          <cell r="Z37">
            <v>2630</v>
          </cell>
          <cell r="AA37">
            <v>0</v>
          </cell>
          <cell r="AD37">
            <v>2776</v>
          </cell>
          <cell r="AE37">
            <v>0</v>
          </cell>
          <cell r="AH37">
            <v>2776</v>
          </cell>
          <cell r="AI37">
            <v>0</v>
          </cell>
          <cell r="AL37">
            <v>2776</v>
          </cell>
          <cell r="AM37">
            <v>0</v>
          </cell>
          <cell r="AP37">
            <v>2776</v>
          </cell>
          <cell r="AQ37">
            <v>0</v>
          </cell>
          <cell r="AT37">
            <v>2776</v>
          </cell>
          <cell r="AU37">
            <v>0</v>
          </cell>
          <cell r="AX37">
            <v>2776</v>
          </cell>
          <cell r="AY37">
            <v>0</v>
          </cell>
          <cell r="BB37">
            <v>2776</v>
          </cell>
          <cell r="BC37">
            <v>0</v>
          </cell>
          <cell r="BF37">
            <v>2776</v>
          </cell>
          <cell r="BG37">
            <v>0</v>
          </cell>
          <cell r="BJ37">
            <v>32508</v>
          </cell>
          <cell r="BK37">
            <v>70013.8</v>
          </cell>
          <cell r="BN37">
            <v>-37505.800000000003</v>
          </cell>
        </row>
        <row r="38">
          <cell r="B38" t="str">
            <v>Tecnologia da Informação</v>
          </cell>
          <cell r="E38" t="str">
            <v>Redes e Conectividade</v>
          </cell>
          <cell r="N38">
            <v>20000</v>
          </cell>
          <cell r="O38">
            <v>10298.9</v>
          </cell>
          <cell r="R38">
            <v>20000</v>
          </cell>
          <cell r="S38">
            <v>10311.799999999999</v>
          </cell>
          <cell r="V38">
            <v>20000</v>
          </cell>
          <cell r="W38">
            <v>10420.07</v>
          </cell>
          <cell r="Z38">
            <v>20000</v>
          </cell>
          <cell r="AD38">
            <v>20000</v>
          </cell>
          <cell r="AH38">
            <v>26857.58</v>
          </cell>
          <cell r="AI38">
            <v>0</v>
          </cell>
          <cell r="AL38">
            <v>26857.58</v>
          </cell>
          <cell r="AM38">
            <v>0</v>
          </cell>
          <cell r="AP38">
            <v>26857.58</v>
          </cell>
          <cell r="AQ38">
            <v>0</v>
          </cell>
          <cell r="AT38">
            <v>26857.58</v>
          </cell>
          <cell r="AU38">
            <v>0</v>
          </cell>
          <cell r="AX38">
            <v>26857.58</v>
          </cell>
          <cell r="AY38">
            <v>0</v>
          </cell>
          <cell r="BB38">
            <v>26857.58</v>
          </cell>
          <cell r="BC38">
            <v>0</v>
          </cell>
          <cell r="BF38">
            <v>26857.58</v>
          </cell>
          <cell r="BG38">
            <v>0</v>
          </cell>
          <cell r="BJ38">
            <v>288003.06000000006</v>
          </cell>
          <cell r="BK38">
            <v>31030.769999999997</v>
          </cell>
          <cell r="BN38">
            <v>256972.29000000007</v>
          </cell>
        </row>
        <row r="39">
          <cell r="B39" t="str">
            <v>Tecnologia da Informação</v>
          </cell>
          <cell r="E39" t="str">
            <v>Software e Licenças</v>
          </cell>
          <cell r="N39">
            <v>0</v>
          </cell>
          <cell r="O39">
            <v>0</v>
          </cell>
          <cell r="R39">
            <v>46884</v>
          </cell>
          <cell r="S39">
            <v>46884</v>
          </cell>
          <cell r="V39">
            <v>0</v>
          </cell>
          <cell r="W39">
            <v>0</v>
          </cell>
          <cell r="Z39">
            <v>0</v>
          </cell>
          <cell r="AA39">
            <v>0</v>
          </cell>
          <cell r="AD39">
            <v>56578</v>
          </cell>
          <cell r="AE39">
            <v>0</v>
          </cell>
          <cell r="AH39">
            <v>0</v>
          </cell>
          <cell r="AI39">
            <v>0</v>
          </cell>
          <cell r="AL39">
            <v>0</v>
          </cell>
          <cell r="AM39">
            <v>0</v>
          </cell>
          <cell r="AP39">
            <v>0</v>
          </cell>
          <cell r="AT39">
            <v>0</v>
          </cell>
          <cell r="AU39">
            <v>0</v>
          </cell>
          <cell r="AX39">
            <v>0</v>
          </cell>
          <cell r="AY39">
            <v>0</v>
          </cell>
          <cell r="BB39">
            <v>51731</v>
          </cell>
          <cell r="BC39">
            <v>0</v>
          </cell>
          <cell r="BF39">
            <v>0</v>
          </cell>
          <cell r="BG39">
            <v>0</v>
          </cell>
          <cell r="BJ39">
            <v>155193</v>
          </cell>
          <cell r="BK39">
            <v>46884</v>
          </cell>
          <cell r="BN39">
            <v>108309</v>
          </cell>
        </row>
        <row r="40">
          <cell r="B40" t="str">
            <v>Tecnologia da Informação</v>
          </cell>
          <cell r="E40" t="str">
            <v>Consultoria e Serviços Especializados</v>
          </cell>
          <cell r="N40">
            <v>2700</v>
          </cell>
          <cell r="O40">
            <v>4050</v>
          </cell>
          <cell r="R40">
            <v>2700</v>
          </cell>
          <cell r="S40">
            <v>5300</v>
          </cell>
          <cell r="V40">
            <v>2700</v>
          </cell>
          <cell r="W40">
            <v>6769.85</v>
          </cell>
          <cell r="Z40">
            <v>2700</v>
          </cell>
          <cell r="AA40">
            <v>0</v>
          </cell>
          <cell r="AD40">
            <v>2700</v>
          </cell>
          <cell r="AE40">
            <v>0</v>
          </cell>
          <cell r="AH40">
            <v>2700</v>
          </cell>
          <cell r="AI40">
            <v>0</v>
          </cell>
          <cell r="AL40">
            <v>2700</v>
          </cell>
          <cell r="AM40">
            <v>0</v>
          </cell>
          <cell r="AP40">
            <v>2700</v>
          </cell>
          <cell r="AT40">
            <v>2700</v>
          </cell>
          <cell r="AU40">
            <v>0</v>
          </cell>
          <cell r="AX40">
            <v>2700</v>
          </cell>
          <cell r="AY40">
            <v>0</v>
          </cell>
          <cell r="BB40">
            <v>2700</v>
          </cell>
          <cell r="BC40">
            <v>0</v>
          </cell>
          <cell r="BF40">
            <v>2700</v>
          </cell>
          <cell r="BG40">
            <v>0</v>
          </cell>
          <cell r="BJ40">
            <v>32400</v>
          </cell>
          <cell r="BK40">
            <v>16119.85</v>
          </cell>
          <cell r="BN40">
            <v>16280.15</v>
          </cell>
        </row>
        <row r="41">
          <cell r="B41" t="str">
            <v>Tecnologia da Informação</v>
          </cell>
          <cell r="E41" t="str">
            <v>Software e Licenças</v>
          </cell>
          <cell r="N41">
            <v>0</v>
          </cell>
          <cell r="O41">
            <v>0</v>
          </cell>
          <cell r="R41">
            <v>0</v>
          </cell>
          <cell r="S41">
            <v>0</v>
          </cell>
          <cell r="V41">
            <v>0</v>
          </cell>
          <cell r="W41">
            <v>0</v>
          </cell>
          <cell r="Z41">
            <v>0</v>
          </cell>
          <cell r="AA41">
            <v>0</v>
          </cell>
          <cell r="AD41">
            <v>0</v>
          </cell>
          <cell r="AE41">
            <v>0</v>
          </cell>
          <cell r="AH41">
            <v>0</v>
          </cell>
          <cell r="AI41">
            <v>0</v>
          </cell>
          <cell r="AL41">
            <v>0</v>
          </cell>
          <cell r="AM41">
            <v>0</v>
          </cell>
          <cell r="AP41">
            <v>0</v>
          </cell>
          <cell r="AQ41">
            <v>0</v>
          </cell>
          <cell r="AT41">
            <v>0</v>
          </cell>
          <cell r="AU41">
            <v>0</v>
          </cell>
          <cell r="AX41">
            <v>0</v>
          </cell>
          <cell r="AY41">
            <v>0</v>
          </cell>
          <cell r="BB41">
            <v>0</v>
          </cell>
          <cell r="BC41">
            <v>0</v>
          </cell>
          <cell r="BF41">
            <v>0</v>
          </cell>
          <cell r="BG41">
            <v>0</v>
          </cell>
          <cell r="BJ41">
            <v>0</v>
          </cell>
          <cell r="BK41">
            <v>0</v>
          </cell>
          <cell r="BN41">
            <v>0</v>
          </cell>
        </row>
        <row r="42">
          <cell r="B42" t="str">
            <v>Tecnologia da Informação</v>
          </cell>
          <cell r="E42" t="str">
            <v>Software e Licenças</v>
          </cell>
          <cell r="N42">
            <v>0</v>
          </cell>
          <cell r="O42">
            <v>0</v>
          </cell>
          <cell r="R42">
            <v>0</v>
          </cell>
          <cell r="S42">
            <v>0</v>
          </cell>
          <cell r="V42">
            <v>0</v>
          </cell>
          <cell r="W42">
            <v>0</v>
          </cell>
          <cell r="Z42">
            <v>0</v>
          </cell>
          <cell r="AA42">
            <v>0</v>
          </cell>
          <cell r="AD42">
            <v>0</v>
          </cell>
          <cell r="AE42">
            <v>0</v>
          </cell>
          <cell r="AH42">
            <v>0</v>
          </cell>
          <cell r="AI42">
            <v>0</v>
          </cell>
          <cell r="AL42">
            <v>0</v>
          </cell>
          <cell r="AM42">
            <v>0</v>
          </cell>
          <cell r="AP42">
            <v>0</v>
          </cell>
          <cell r="AQ42">
            <v>0</v>
          </cell>
          <cell r="AT42">
            <v>0</v>
          </cell>
          <cell r="AU42">
            <v>0</v>
          </cell>
          <cell r="AX42">
            <v>0</v>
          </cell>
          <cell r="AY42">
            <v>0</v>
          </cell>
          <cell r="BB42">
            <v>0</v>
          </cell>
          <cell r="BC42">
            <v>0</v>
          </cell>
          <cell r="BF42">
            <v>0</v>
          </cell>
          <cell r="BG42">
            <v>0</v>
          </cell>
          <cell r="BJ42">
            <v>0</v>
          </cell>
          <cell r="BK42">
            <v>0</v>
          </cell>
          <cell r="BN42">
            <v>0</v>
          </cell>
        </row>
        <row r="43">
          <cell r="B43" t="str">
            <v>Tecnologia da Informação</v>
          </cell>
          <cell r="E43" t="str">
            <v>Software e Licenças</v>
          </cell>
          <cell r="N43">
            <v>0</v>
          </cell>
          <cell r="O43">
            <v>0</v>
          </cell>
          <cell r="R43">
            <v>0</v>
          </cell>
          <cell r="S43">
            <v>0</v>
          </cell>
          <cell r="V43">
            <v>0</v>
          </cell>
          <cell r="W43">
            <v>0</v>
          </cell>
          <cell r="Z43">
            <v>0</v>
          </cell>
          <cell r="AA43">
            <v>0</v>
          </cell>
          <cell r="AD43">
            <v>0</v>
          </cell>
          <cell r="AE43">
            <v>0</v>
          </cell>
          <cell r="AH43">
            <v>0</v>
          </cell>
          <cell r="AI43">
            <v>0</v>
          </cell>
          <cell r="AL43">
            <v>0</v>
          </cell>
          <cell r="AM43">
            <v>0</v>
          </cell>
          <cell r="AP43">
            <v>0</v>
          </cell>
          <cell r="AQ43">
            <v>0</v>
          </cell>
          <cell r="AT43">
            <v>0</v>
          </cell>
          <cell r="AU43">
            <v>0</v>
          </cell>
          <cell r="AX43">
            <v>0</v>
          </cell>
          <cell r="AY43">
            <v>0</v>
          </cell>
          <cell r="BB43">
            <v>0</v>
          </cell>
          <cell r="BC43">
            <v>0</v>
          </cell>
          <cell r="BF43">
            <v>0</v>
          </cell>
          <cell r="BG43">
            <v>0</v>
          </cell>
          <cell r="BJ43">
            <v>0</v>
          </cell>
          <cell r="BK43">
            <v>0</v>
          </cell>
          <cell r="BN43">
            <v>0</v>
          </cell>
        </row>
        <row r="44">
          <cell r="B44" t="str">
            <v>Tecnologia da Informação</v>
          </cell>
          <cell r="E44" t="str">
            <v>Software e Licenças</v>
          </cell>
          <cell r="N44">
            <v>0</v>
          </cell>
          <cell r="O44">
            <v>0</v>
          </cell>
          <cell r="R44">
            <v>0</v>
          </cell>
          <cell r="S44">
            <v>0</v>
          </cell>
          <cell r="V44">
            <v>0</v>
          </cell>
          <cell r="W44">
            <v>0</v>
          </cell>
          <cell r="Z44">
            <v>0</v>
          </cell>
          <cell r="AA44">
            <v>0</v>
          </cell>
          <cell r="AD44">
            <v>0</v>
          </cell>
          <cell r="AE44">
            <v>0</v>
          </cell>
          <cell r="AH44">
            <v>0</v>
          </cell>
          <cell r="AI44">
            <v>0</v>
          </cell>
          <cell r="AL44">
            <v>0</v>
          </cell>
          <cell r="AM44">
            <v>0</v>
          </cell>
          <cell r="AP44">
            <v>0</v>
          </cell>
          <cell r="AQ44">
            <v>0</v>
          </cell>
          <cell r="AT44">
            <v>0</v>
          </cell>
          <cell r="AU44">
            <v>0</v>
          </cell>
          <cell r="AX44">
            <v>0</v>
          </cell>
          <cell r="AY44">
            <v>0</v>
          </cell>
          <cell r="BB44">
            <v>0</v>
          </cell>
          <cell r="BC44">
            <v>0</v>
          </cell>
          <cell r="BF44">
            <v>0</v>
          </cell>
          <cell r="BG44">
            <v>0</v>
          </cell>
          <cell r="BJ44">
            <v>0</v>
          </cell>
          <cell r="BK44">
            <v>0</v>
          </cell>
          <cell r="BN44">
            <v>0</v>
          </cell>
        </row>
        <row r="45">
          <cell r="B45" t="str">
            <v>Tecnologia da Informação</v>
          </cell>
          <cell r="E45" t="str">
            <v>Software e Licenças</v>
          </cell>
          <cell r="N45">
            <v>0</v>
          </cell>
          <cell r="O45">
            <v>0</v>
          </cell>
          <cell r="R45">
            <v>0</v>
          </cell>
          <cell r="S45">
            <v>0</v>
          </cell>
          <cell r="V45">
            <v>0</v>
          </cell>
          <cell r="W45">
            <v>0</v>
          </cell>
          <cell r="Z45">
            <v>0</v>
          </cell>
          <cell r="AA45">
            <v>0</v>
          </cell>
          <cell r="AD45">
            <v>0</v>
          </cell>
          <cell r="AE45">
            <v>0</v>
          </cell>
          <cell r="AH45">
            <v>0</v>
          </cell>
          <cell r="AI45">
            <v>0</v>
          </cell>
          <cell r="AL45">
            <v>0</v>
          </cell>
          <cell r="AM45">
            <v>0</v>
          </cell>
          <cell r="AP45">
            <v>0</v>
          </cell>
          <cell r="AT45">
            <v>0</v>
          </cell>
          <cell r="AU45">
            <v>0</v>
          </cell>
          <cell r="AX45">
            <v>0</v>
          </cell>
          <cell r="AY45">
            <v>0</v>
          </cell>
          <cell r="BB45">
            <v>0</v>
          </cell>
          <cell r="BC45">
            <v>0</v>
          </cell>
          <cell r="BF45">
            <v>0</v>
          </cell>
          <cell r="BG45">
            <v>0</v>
          </cell>
          <cell r="BJ45">
            <v>0</v>
          </cell>
          <cell r="BK45">
            <v>0</v>
          </cell>
          <cell r="BN45">
            <v>0</v>
          </cell>
        </row>
        <row r="46">
          <cell r="B46" t="str">
            <v>Tecnologia da Informação</v>
          </cell>
          <cell r="E46" t="str">
            <v>Software e Licenças</v>
          </cell>
          <cell r="N46">
            <v>0</v>
          </cell>
          <cell r="O46">
            <v>0</v>
          </cell>
          <cell r="R46">
            <v>0</v>
          </cell>
          <cell r="S46">
            <v>0</v>
          </cell>
          <cell r="V46">
            <v>0</v>
          </cell>
          <cell r="W46">
            <v>0</v>
          </cell>
          <cell r="Z46">
            <v>0</v>
          </cell>
          <cell r="AA46">
            <v>0</v>
          </cell>
          <cell r="AD46">
            <v>0</v>
          </cell>
          <cell r="AE46">
            <v>0</v>
          </cell>
          <cell r="AH46">
            <v>0</v>
          </cell>
          <cell r="AI46">
            <v>0</v>
          </cell>
          <cell r="AL46">
            <v>0</v>
          </cell>
          <cell r="AM46">
            <v>0</v>
          </cell>
          <cell r="AP46">
            <v>0</v>
          </cell>
          <cell r="AQ46">
            <v>0</v>
          </cell>
          <cell r="AT46">
            <v>0</v>
          </cell>
          <cell r="AU46">
            <v>0</v>
          </cell>
          <cell r="AX46">
            <v>0</v>
          </cell>
          <cell r="AY46">
            <v>0</v>
          </cell>
          <cell r="BB46">
            <v>0</v>
          </cell>
          <cell r="BC46">
            <v>0</v>
          </cell>
          <cell r="BF46">
            <v>0</v>
          </cell>
          <cell r="BG46">
            <v>0</v>
          </cell>
          <cell r="BJ46">
            <v>0</v>
          </cell>
          <cell r="BK46">
            <v>0</v>
          </cell>
          <cell r="BN46">
            <v>0</v>
          </cell>
        </row>
        <row r="47">
          <cell r="B47" t="str">
            <v>Tecnologia da Informação</v>
          </cell>
          <cell r="E47" t="str">
            <v>Software e Licenças</v>
          </cell>
          <cell r="N47">
            <v>0</v>
          </cell>
          <cell r="O47">
            <v>0</v>
          </cell>
          <cell r="R47">
            <v>0</v>
          </cell>
          <cell r="S47">
            <v>0</v>
          </cell>
          <cell r="V47">
            <v>0</v>
          </cell>
          <cell r="W47">
            <v>0</v>
          </cell>
          <cell r="Z47">
            <v>0</v>
          </cell>
          <cell r="AA47">
            <v>0</v>
          </cell>
          <cell r="AD47">
            <v>0</v>
          </cell>
          <cell r="AE47">
            <v>0</v>
          </cell>
          <cell r="AH47">
            <v>0</v>
          </cell>
          <cell r="AI47">
            <v>0</v>
          </cell>
          <cell r="AL47">
            <v>0</v>
          </cell>
          <cell r="AM47">
            <v>0</v>
          </cell>
          <cell r="AP47">
            <v>0</v>
          </cell>
          <cell r="AT47">
            <v>0</v>
          </cell>
          <cell r="AU47">
            <v>0</v>
          </cell>
          <cell r="AX47">
            <v>0</v>
          </cell>
          <cell r="AY47">
            <v>0</v>
          </cell>
          <cell r="BB47">
            <v>0</v>
          </cell>
          <cell r="BC47">
            <v>0</v>
          </cell>
          <cell r="BF47">
            <v>0</v>
          </cell>
          <cell r="BG47">
            <v>0</v>
          </cell>
          <cell r="BJ47">
            <v>0</v>
          </cell>
          <cell r="BK47">
            <v>0</v>
          </cell>
          <cell r="BN47">
            <v>0</v>
          </cell>
        </row>
        <row r="48">
          <cell r="B48" t="str">
            <v>Tecnologia da Informação</v>
          </cell>
          <cell r="E48" t="str">
            <v>Software e Licenças</v>
          </cell>
          <cell r="N48">
            <v>0</v>
          </cell>
          <cell r="O48">
            <v>0</v>
          </cell>
          <cell r="R48">
            <v>17837</v>
          </cell>
          <cell r="S48">
            <v>36401.120000000003</v>
          </cell>
          <cell r="V48">
            <v>0</v>
          </cell>
          <cell r="W48">
            <v>0</v>
          </cell>
          <cell r="Z48">
            <v>0</v>
          </cell>
          <cell r="AA48">
            <v>0</v>
          </cell>
          <cell r="AD48">
            <v>54426</v>
          </cell>
          <cell r="AE48">
            <v>0</v>
          </cell>
          <cell r="AH48">
            <v>0</v>
          </cell>
          <cell r="AI48">
            <v>0</v>
          </cell>
          <cell r="AL48">
            <v>0</v>
          </cell>
          <cell r="AM48">
            <v>0</v>
          </cell>
          <cell r="AP48">
            <v>54426</v>
          </cell>
          <cell r="AQ48">
            <v>0</v>
          </cell>
          <cell r="AT48">
            <v>0</v>
          </cell>
          <cell r="AU48">
            <v>0</v>
          </cell>
          <cell r="AX48">
            <v>0</v>
          </cell>
          <cell r="AY48">
            <v>0</v>
          </cell>
          <cell r="BB48">
            <v>54426</v>
          </cell>
          <cell r="BC48">
            <v>0</v>
          </cell>
          <cell r="BF48">
            <v>18142</v>
          </cell>
          <cell r="BG48">
            <v>0</v>
          </cell>
          <cell r="BJ48">
            <v>199257</v>
          </cell>
          <cell r="BK48">
            <v>36401.120000000003</v>
          </cell>
          <cell r="BN48">
            <v>162855.88</v>
          </cell>
        </row>
        <row r="49">
          <cell r="B49" t="str">
            <v>Tecnologia da Informação</v>
          </cell>
          <cell r="E49" t="str">
            <v>Software e Licenças</v>
          </cell>
          <cell r="N49">
            <v>0</v>
          </cell>
          <cell r="O49">
            <v>82.34</v>
          </cell>
          <cell r="R49">
            <v>0</v>
          </cell>
          <cell r="S49">
            <v>79.66</v>
          </cell>
          <cell r="V49">
            <v>0</v>
          </cell>
          <cell r="W49">
            <v>79.459999999999994</v>
          </cell>
          <cell r="Z49">
            <v>0</v>
          </cell>
          <cell r="AA49">
            <v>0</v>
          </cell>
          <cell r="AD49">
            <v>0</v>
          </cell>
          <cell r="AE49">
            <v>0</v>
          </cell>
          <cell r="AH49">
            <v>0</v>
          </cell>
          <cell r="AI49">
            <v>0</v>
          </cell>
          <cell r="AL49">
            <v>0</v>
          </cell>
          <cell r="AM49">
            <v>0</v>
          </cell>
          <cell r="AP49">
            <v>0</v>
          </cell>
          <cell r="AQ49">
            <v>0</v>
          </cell>
          <cell r="AT49">
            <v>0</v>
          </cell>
          <cell r="AU49">
            <v>0</v>
          </cell>
          <cell r="AX49">
            <v>0</v>
          </cell>
          <cell r="AY49">
            <v>0</v>
          </cell>
          <cell r="BB49">
            <v>0</v>
          </cell>
          <cell r="BC49">
            <v>0</v>
          </cell>
          <cell r="BF49">
            <v>0</v>
          </cell>
          <cell r="BG49">
            <v>0</v>
          </cell>
          <cell r="BJ49">
            <v>0</v>
          </cell>
          <cell r="BK49">
            <v>241.46</v>
          </cell>
          <cell r="BN49">
            <v>-241.46</v>
          </cell>
        </row>
        <row r="50">
          <cell r="B50" t="str">
            <v>Tecnologia da Informação</v>
          </cell>
          <cell r="E50" t="str">
            <v>Consultoria e Serviços Especializados</v>
          </cell>
          <cell r="N50">
            <v>0</v>
          </cell>
          <cell r="O50">
            <v>0</v>
          </cell>
          <cell r="R50">
            <v>0</v>
          </cell>
          <cell r="S50">
            <v>0</v>
          </cell>
          <cell r="V50">
            <v>0</v>
          </cell>
          <cell r="W50">
            <v>0</v>
          </cell>
          <cell r="Z50">
            <v>0</v>
          </cell>
          <cell r="AA50">
            <v>0</v>
          </cell>
          <cell r="AD50">
            <v>0</v>
          </cell>
          <cell r="AE50">
            <v>0</v>
          </cell>
          <cell r="AH50">
            <v>0</v>
          </cell>
          <cell r="AI50">
            <v>0</v>
          </cell>
          <cell r="AL50">
            <v>16500</v>
          </cell>
          <cell r="AM50">
            <v>0</v>
          </cell>
          <cell r="AP50">
            <v>16500</v>
          </cell>
          <cell r="AT50">
            <v>16500</v>
          </cell>
          <cell r="AU50">
            <v>0</v>
          </cell>
          <cell r="AX50">
            <v>16500</v>
          </cell>
          <cell r="AY50">
            <v>0</v>
          </cell>
          <cell r="BB50">
            <v>16500</v>
          </cell>
          <cell r="BC50">
            <v>0</v>
          </cell>
          <cell r="BF50">
            <v>16500</v>
          </cell>
          <cell r="BG50">
            <v>0</v>
          </cell>
          <cell r="BJ50">
            <v>99000</v>
          </cell>
          <cell r="BK50">
            <v>0</v>
          </cell>
          <cell r="BN50">
            <v>99000</v>
          </cell>
        </row>
        <row r="51">
          <cell r="B51" t="str">
            <v>Tecnologia da Informação</v>
          </cell>
          <cell r="E51" t="str">
            <v>Software e Licenças</v>
          </cell>
          <cell r="N51">
            <v>0</v>
          </cell>
          <cell r="O51">
            <v>0</v>
          </cell>
          <cell r="R51">
            <v>0</v>
          </cell>
          <cell r="S51">
            <v>0</v>
          </cell>
          <cell r="W51">
            <v>0</v>
          </cell>
          <cell r="Z51">
            <v>0</v>
          </cell>
          <cell r="AA51">
            <v>0</v>
          </cell>
          <cell r="AD51">
            <v>0</v>
          </cell>
          <cell r="AE51">
            <v>0</v>
          </cell>
          <cell r="AI51">
            <v>0</v>
          </cell>
          <cell r="AM51">
            <v>0</v>
          </cell>
          <cell r="AQ51">
            <v>0</v>
          </cell>
          <cell r="AT51">
            <v>5600</v>
          </cell>
          <cell r="AU51">
            <v>0</v>
          </cell>
          <cell r="AX51">
            <v>5600</v>
          </cell>
          <cell r="AY51">
            <v>0</v>
          </cell>
          <cell r="BB51">
            <v>5600</v>
          </cell>
          <cell r="BC51">
            <v>0</v>
          </cell>
          <cell r="BF51">
            <v>5600</v>
          </cell>
          <cell r="BG51">
            <v>0</v>
          </cell>
          <cell r="BJ51">
            <v>22400</v>
          </cell>
          <cell r="BK51">
            <v>0</v>
          </cell>
          <cell r="BN51">
            <v>22400</v>
          </cell>
        </row>
        <row r="52">
          <cell r="B52" t="str">
            <v>Tecnologia da Informação</v>
          </cell>
          <cell r="E52" t="str">
            <v>Software e Licenças</v>
          </cell>
          <cell r="N52">
            <v>7500</v>
          </cell>
          <cell r="O52">
            <v>2659.56</v>
          </cell>
          <cell r="R52">
            <v>13100</v>
          </cell>
          <cell r="S52">
            <v>2659.56</v>
          </cell>
          <cell r="V52">
            <v>13100</v>
          </cell>
          <cell r="W52">
            <v>4995.2</v>
          </cell>
          <cell r="Z52">
            <v>13100</v>
          </cell>
          <cell r="AA52">
            <v>0</v>
          </cell>
          <cell r="AD52">
            <v>13100</v>
          </cell>
          <cell r="AE52">
            <v>0</v>
          </cell>
          <cell r="AH52">
            <v>13100</v>
          </cell>
          <cell r="AI52">
            <v>0</v>
          </cell>
          <cell r="AL52">
            <v>13100</v>
          </cell>
          <cell r="AM52">
            <v>0</v>
          </cell>
          <cell r="AP52">
            <v>13100</v>
          </cell>
          <cell r="AQ52">
            <v>0</v>
          </cell>
          <cell r="AT52">
            <v>7500</v>
          </cell>
          <cell r="AU52">
            <v>0</v>
          </cell>
          <cell r="AX52">
            <v>7500</v>
          </cell>
          <cell r="AY52">
            <v>0</v>
          </cell>
          <cell r="BB52">
            <v>7500</v>
          </cell>
          <cell r="BC52">
            <v>0</v>
          </cell>
          <cell r="BF52">
            <v>7500</v>
          </cell>
          <cell r="BG52">
            <v>0</v>
          </cell>
          <cell r="BJ52">
            <v>129200</v>
          </cell>
          <cell r="BK52">
            <v>10314.32</v>
          </cell>
          <cell r="BN52">
            <v>118885.68</v>
          </cell>
        </row>
        <row r="53">
          <cell r="B53" t="str">
            <v>Tecnologia da Informação</v>
          </cell>
          <cell r="E53" t="str">
            <v>Software e Licenças</v>
          </cell>
          <cell r="N53">
            <v>0</v>
          </cell>
          <cell r="O53">
            <v>0</v>
          </cell>
          <cell r="R53">
            <v>0</v>
          </cell>
          <cell r="S53">
            <v>0</v>
          </cell>
          <cell r="V53">
            <v>0</v>
          </cell>
          <cell r="W53">
            <v>0</v>
          </cell>
          <cell r="Z53">
            <v>0</v>
          </cell>
          <cell r="AA53">
            <v>0</v>
          </cell>
          <cell r="AD53">
            <v>0</v>
          </cell>
          <cell r="AE53">
            <v>0</v>
          </cell>
          <cell r="AH53">
            <v>0</v>
          </cell>
          <cell r="AI53">
            <v>0</v>
          </cell>
          <cell r="AL53">
            <v>0</v>
          </cell>
          <cell r="AM53">
            <v>0</v>
          </cell>
          <cell r="AP53">
            <v>0</v>
          </cell>
          <cell r="AQ53">
            <v>0</v>
          </cell>
          <cell r="AT53">
            <v>0</v>
          </cell>
          <cell r="AU53">
            <v>0</v>
          </cell>
          <cell r="AX53">
            <v>0</v>
          </cell>
          <cell r="AY53">
            <v>0</v>
          </cell>
          <cell r="BB53">
            <v>0</v>
          </cell>
          <cell r="BC53">
            <v>0</v>
          </cell>
          <cell r="BF53">
            <v>0</v>
          </cell>
          <cell r="BG53">
            <v>0</v>
          </cell>
          <cell r="BJ53">
            <v>0</v>
          </cell>
          <cell r="BK53">
            <v>0</v>
          </cell>
          <cell r="BN53">
            <v>0</v>
          </cell>
        </row>
        <row r="54">
          <cell r="B54" t="str">
            <v>Tecnologia da Informação</v>
          </cell>
          <cell r="E54" t="str">
            <v>Software e Licenças</v>
          </cell>
          <cell r="N54">
            <v>1494</v>
          </cell>
          <cell r="O54">
            <v>2315.08</v>
          </cell>
          <cell r="R54">
            <v>1494</v>
          </cell>
          <cell r="S54">
            <v>2315.08</v>
          </cell>
          <cell r="V54">
            <v>1559</v>
          </cell>
          <cell r="W54">
            <v>2315.08</v>
          </cell>
          <cell r="Z54">
            <v>1559</v>
          </cell>
          <cell r="AA54">
            <v>0</v>
          </cell>
          <cell r="AD54">
            <v>1637</v>
          </cell>
          <cell r="AE54">
            <v>0</v>
          </cell>
          <cell r="AH54">
            <v>1637</v>
          </cell>
          <cell r="AI54">
            <v>0</v>
          </cell>
          <cell r="AL54">
            <v>1637</v>
          </cell>
          <cell r="AM54">
            <v>0</v>
          </cell>
          <cell r="AP54">
            <v>1637</v>
          </cell>
          <cell r="AQ54">
            <v>0</v>
          </cell>
          <cell r="AT54">
            <v>1637</v>
          </cell>
          <cell r="AU54">
            <v>0</v>
          </cell>
          <cell r="AX54">
            <v>1637</v>
          </cell>
          <cell r="AY54">
            <v>0</v>
          </cell>
          <cell r="BB54">
            <v>1637</v>
          </cell>
          <cell r="BC54">
            <v>0</v>
          </cell>
          <cell r="BF54">
            <v>1637</v>
          </cell>
          <cell r="BG54">
            <v>0</v>
          </cell>
          <cell r="BJ54">
            <v>19202</v>
          </cell>
          <cell r="BK54">
            <v>6945.24</v>
          </cell>
          <cell r="BN54">
            <v>12256.76</v>
          </cell>
        </row>
        <row r="55">
          <cell r="B55" t="str">
            <v>Tecnologia da Informação</v>
          </cell>
          <cell r="E55" t="str">
            <v>Software e Licenças</v>
          </cell>
          <cell r="N55">
            <v>4218</v>
          </cell>
          <cell r="O55">
            <v>3998.12</v>
          </cell>
          <cell r="R55">
            <v>4218</v>
          </cell>
          <cell r="S55">
            <v>3998.12</v>
          </cell>
          <cell r="V55">
            <v>4402</v>
          </cell>
          <cell r="W55">
            <v>3998.12</v>
          </cell>
          <cell r="Z55">
            <v>4402</v>
          </cell>
          <cell r="AA55">
            <v>0</v>
          </cell>
          <cell r="AD55">
            <v>4632</v>
          </cell>
          <cell r="AE55">
            <v>0</v>
          </cell>
          <cell r="AH55">
            <v>4632</v>
          </cell>
          <cell r="AI55">
            <v>0</v>
          </cell>
          <cell r="AL55">
            <v>4632</v>
          </cell>
          <cell r="AM55">
            <v>0</v>
          </cell>
          <cell r="AP55">
            <v>4632</v>
          </cell>
          <cell r="AQ55">
            <v>0</v>
          </cell>
          <cell r="AT55">
            <v>4632</v>
          </cell>
          <cell r="AU55">
            <v>0</v>
          </cell>
          <cell r="AX55">
            <v>4632</v>
          </cell>
          <cell r="AY55">
            <v>0</v>
          </cell>
          <cell r="BB55">
            <v>4632</v>
          </cell>
          <cell r="BC55">
            <v>0</v>
          </cell>
          <cell r="BF55">
            <v>4632</v>
          </cell>
          <cell r="BG55">
            <v>0</v>
          </cell>
          <cell r="BJ55">
            <v>54296</v>
          </cell>
          <cell r="BK55">
            <v>11994.36</v>
          </cell>
          <cell r="BN55">
            <v>42301.64</v>
          </cell>
        </row>
        <row r="56">
          <cell r="B56" t="str">
            <v>Tecnologia da Informação</v>
          </cell>
          <cell r="E56" t="str">
            <v>Software e Licenças</v>
          </cell>
          <cell r="N56">
            <v>2833</v>
          </cell>
          <cell r="O56">
            <v>2849.69</v>
          </cell>
          <cell r="R56">
            <v>2833</v>
          </cell>
          <cell r="S56">
            <v>2807.14</v>
          </cell>
          <cell r="V56">
            <v>2956</v>
          </cell>
          <cell r="W56">
            <v>2807.14</v>
          </cell>
          <cell r="Z56">
            <v>2956</v>
          </cell>
          <cell r="AA56">
            <v>0</v>
          </cell>
          <cell r="AD56">
            <v>3109</v>
          </cell>
          <cell r="AE56">
            <v>0</v>
          </cell>
          <cell r="AH56">
            <v>3109</v>
          </cell>
          <cell r="AI56">
            <v>0</v>
          </cell>
          <cell r="AL56">
            <v>3109</v>
          </cell>
          <cell r="AM56">
            <v>0</v>
          </cell>
          <cell r="AP56">
            <v>3109</v>
          </cell>
          <cell r="AQ56">
            <v>0</v>
          </cell>
          <cell r="AT56">
            <v>3109</v>
          </cell>
          <cell r="AU56">
            <v>0</v>
          </cell>
          <cell r="AX56">
            <v>3109</v>
          </cell>
          <cell r="AY56">
            <v>0</v>
          </cell>
          <cell r="BB56">
            <v>3109</v>
          </cell>
          <cell r="BC56">
            <v>0</v>
          </cell>
          <cell r="BF56">
            <v>3109</v>
          </cell>
          <cell r="BG56">
            <v>0</v>
          </cell>
          <cell r="BJ56">
            <v>36450</v>
          </cell>
          <cell r="BK56">
            <v>8463.9699999999993</v>
          </cell>
          <cell r="BN56">
            <v>27986.03</v>
          </cell>
        </row>
        <row r="57">
          <cell r="B57" t="str">
            <v>Tecnologia da Informação</v>
          </cell>
          <cell r="E57" t="str">
            <v>Software e Licenças</v>
          </cell>
          <cell r="N57">
            <v>98</v>
          </cell>
          <cell r="O57">
            <v>48.9</v>
          </cell>
          <cell r="R57">
            <v>98</v>
          </cell>
          <cell r="S57">
            <v>48.89</v>
          </cell>
          <cell r="V57">
            <v>102</v>
          </cell>
          <cell r="W57">
            <v>48.89</v>
          </cell>
          <cell r="Z57">
            <v>102</v>
          </cell>
          <cell r="AD57">
            <v>153</v>
          </cell>
          <cell r="AE57">
            <v>0</v>
          </cell>
          <cell r="AH57">
            <v>153</v>
          </cell>
          <cell r="AI57">
            <v>0</v>
          </cell>
          <cell r="AL57">
            <v>153</v>
          </cell>
          <cell r="AM57">
            <v>0</v>
          </cell>
          <cell r="AP57">
            <v>153</v>
          </cell>
          <cell r="AQ57">
            <v>0</v>
          </cell>
          <cell r="AT57">
            <v>153</v>
          </cell>
          <cell r="AU57">
            <v>0</v>
          </cell>
          <cell r="AX57">
            <v>153</v>
          </cell>
          <cell r="AY57">
            <v>0</v>
          </cell>
          <cell r="BB57">
            <v>153</v>
          </cell>
          <cell r="BC57">
            <v>0</v>
          </cell>
          <cell r="BF57">
            <v>153</v>
          </cell>
          <cell r="BG57">
            <v>0</v>
          </cell>
          <cell r="BJ57">
            <v>1624</v>
          </cell>
          <cell r="BK57">
            <v>146.68</v>
          </cell>
          <cell r="BN57">
            <v>1477.32</v>
          </cell>
        </row>
        <row r="58">
          <cell r="B58" t="str">
            <v>Tecnologia da Informação</v>
          </cell>
          <cell r="E58" t="str">
            <v>Software e Licenças</v>
          </cell>
          <cell r="N58">
            <v>3906</v>
          </cell>
          <cell r="O58">
            <v>4340.28</v>
          </cell>
          <cell r="R58">
            <v>3906</v>
          </cell>
          <cell r="S58">
            <v>4100.8900000000003</v>
          </cell>
          <cell r="V58">
            <v>4076</v>
          </cell>
          <cell r="W58">
            <v>4100.8900000000003</v>
          </cell>
          <cell r="Z58">
            <v>4076</v>
          </cell>
          <cell r="AD58">
            <v>4280</v>
          </cell>
          <cell r="AE58">
            <v>0</v>
          </cell>
          <cell r="AH58">
            <v>4280</v>
          </cell>
          <cell r="AI58">
            <v>0</v>
          </cell>
          <cell r="AL58">
            <v>4280</v>
          </cell>
          <cell r="AM58">
            <v>0</v>
          </cell>
          <cell r="AP58">
            <v>4280</v>
          </cell>
          <cell r="AT58">
            <v>4280</v>
          </cell>
          <cell r="AU58">
            <v>0</v>
          </cell>
          <cell r="AX58">
            <v>4280</v>
          </cell>
          <cell r="AY58">
            <v>0</v>
          </cell>
          <cell r="BB58">
            <v>4280</v>
          </cell>
          <cell r="BC58">
            <v>0</v>
          </cell>
          <cell r="BF58">
            <v>4280</v>
          </cell>
          <cell r="BG58">
            <v>0</v>
          </cell>
          <cell r="BJ58">
            <v>50204</v>
          </cell>
          <cell r="BK58">
            <v>12542.060000000001</v>
          </cell>
          <cell r="BN58">
            <v>37661.94</v>
          </cell>
        </row>
        <row r="59">
          <cell r="B59" t="str">
            <v>Tecnologia da Informação</v>
          </cell>
          <cell r="E59" t="str">
            <v>Software e Licenças</v>
          </cell>
          <cell r="N59">
            <v>5859</v>
          </cell>
          <cell r="O59">
            <v>10753.2</v>
          </cell>
          <cell r="R59">
            <v>5859</v>
          </cell>
          <cell r="S59">
            <v>9226.98</v>
          </cell>
          <cell r="V59">
            <v>6115</v>
          </cell>
          <cell r="W59">
            <v>9226.98</v>
          </cell>
          <cell r="Z59">
            <v>6115</v>
          </cell>
          <cell r="AD59">
            <v>6421</v>
          </cell>
          <cell r="AE59">
            <v>0</v>
          </cell>
          <cell r="AH59">
            <v>6421</v>
          </cell>
          <cell r="AI59">
            <v>0</v>
          </cell>
          <cell r="AL59">
            <v>6421</v>
          </cell>
          <cell r="AM59">
            <v>0</v>
          </cell>
          <cell r="AP59">
            <v>6421</v>
          </cell>
          <cell r="AT59">
            <v>6421</v>
          </cell>
          <cell r="AU59">
            <v>0</v>
          </cell>
          <cell r="AX59">
            <v>6421</v>
          </cell>
          <cell r="AY59">
            <v>0</v>
          </cell>
          <cell r="BB59">
            <v>6421</v>
          </cell>
          <cell r="BC59">
            <v>0</v>
          </cell>
          <cell r="BF59">
            <v>6421</v>
          </cell>
          <cell r="BG59">
            <v>0</v>
          </cell>
          <cell r="BJ59">
            <v>75316</v>
          </cell>
          <cell r="BK59">
            <v>29207.16</v>
          </cell>
          <cell r="BN59">
            <v>46108.84</v>
          </cell>
        </row>
        <row r="60">
          <cell r="B60" t="str">
            <v>Tecnologia da Informação</v>
          </cell>
          <cell r="E60" t="str">
            <v>Software e Licenças</v>
          </cell>
          <cell r="N60">
            <v>0</v>
          </cell>
          <cell r="O60">
            <v>221.79</v>
          </cell>
          <cell r="R60">
            <v>0</v>
          </cell>
          <cell r="S60">
            <v>221.79</v>
          </cell>
          <cell r="V60">
            <v>0</v>
          </cell>
          <cell r="W60">
            <v>221.76</v>
          </cell>
          <cell r="Z60">
            <v>0</v>
          </cell>
          <cell r="AA60">
            <v>0</v>
          </cell>
          <cell r="AD60">
            <v>0</v>
          </cell>
          <cell r="AE60">
            <v>0</v>
          </cell>
          <cell r="AH60">
            <v>0</v>
          </cell>
          <cell r="AI60">
            <v>0</v>
          </cell>
          <cell r="AL60">
            <v>0</v>
          </cell>
          <cell r="AM60">
            <v>0</v>
          </cell>
          <cell r="AP60">
            <v>0</v>
          </cell>
          <cell r="AQ60">
            <v>0</v>
          </cell>
          <cell r="AT60">
            <v>0</v>
          </cell>
          <cell r="AU60">
            <v>0</v>
          </cell>
          <cell r="AX60">
            <v>0</v>
          </cell>
          <cell r="AY60">
            <v>0</v>
          </cell>
          <cell r="BB60">
            <v>0</v>
          </cell>
          <cell r="BC60">
            <v>0</v>
          </cell>
          <cell r="BF60">
            <v>0</v>
          </cell>
          <cell r="BG60">
            <v>0</v>
          </cell>
          <cell r="BJ60">
            <v>0</v>
          </cell>
          <cell r="BK60">
            <v>665.33999999999992</v>
          </cell>
          <cell r="BN60">
            <v>-665.33999999999992</v>
          </cell>
        </row>
        <row r="61">
          <cell r="B61" t="str">
            <v>Tecnologia da Informação</v>
          </cell>
          <cell r="E61" t="str">
            <v>Software e Licenças</v>
          </cell>
          <cell r="N61">
            <v>0</v>
          </cell>
          <cell r="O61">
            <v>4832.3900000000003</v>
          </cell>
          <cell r="R61">
            <v>0</v>
          </cell>
          <cell r="S61">
            <v>4579.32</v>
          </cell>
          <cell r="V61">
            <v>0</v>
          </cell>
          <cell r="W61">
            <v>4579.32</v>
          </cell>
          <cell r="Z61">
            <v>0</v>
          </cell>
          <cell r="AA61">
            <v>0</v>
          </cell>
          <cell r="AD61">
            <v>0</v>
          </cell>
          <cell r="AE61">
            <v>0</v>
          </cell>
          <cell r="AH61">
            <v>0</v>
          </cell>
          <cell r="AI61">
            <v>0</v>
          </cell>
          <cell r="AL61">
            <v>0</v>
          </cell>
          <cell r="AM61">
            <v>0</v>
          </cell>
          <cell r="AP61">
            <v>0</v>
          </cell>
          <cell r="AQ61">
            <v>0</v>
          </cell>
          <cell r="AT61">
            <v>0</v>
          </cell>
          <cell r="AU61">
            <v>0</v>
          </cell>
          <cell r="AX61">
            <v>0</v>
          </cell>
          <cell r="AY61">
            <v>0</v>
          </cell>
          <cell r="BB61">
            <v>0</v>
          </cell>
          <cell r="BC61">
            <v>0</v>
          </cell>
          <cell r="BF61">
            <v>0</v>
          </cell>
          <cell r="BG61">
            <v>0</v>
          </cell>
          <cell r="BJ61">
            <v>0</v>
          </cell>
          <cell r="BK61">
            <v>13991.029999999999</v>
          </cell>
          <cell r="BN61">
            <v>-13991.029999999999</v>
          </cell>
        </row>
        <row r="62">
          <cell r="B62" t="str">
            <v>Tecnologia da Informação</v>
          </cell>
          <cell r="E62" t="str">
            <v>Software e Licenças</v>
          </cell>
          <cell r="N62">
            <v>39029</v>
          </cell>
          <cell r="O62">
            <v>37170</v>
          </cell>
          <cell r="R62">
            <v>39029</v>
          </cell>
          <cell r="S62">
            <v>37170</v>
          </cell>
          <cell r="V62">
            <v>40734</v>
          </cell>
          <cell r="W62">
            <v>37170</v>
          </cell>
          <cell r="Z62">
            <v>40734</v>
          </cell>
          <cell r="AD62">
            <v>42803</v>
          </cell>
          <cell r="AE62">
            <v>0</v>
          </cell>
          <cell r="AH62">
            <v>42803</v>
          </cell>
          <cell r="AI62">
            <v>0</v>
          </cell>
          <cell r="AL62">
            <v>42803</v>
          </cell>
          <cell r="AM62">
            <v>0</v>
          </cell>
          <cell r="AP62">
            <v>42803</v>
          </cell>
          <cell r="AT62">
            <v>42803</v>
          </cell>
          <cell r="AU62">
            <v>0</v>
          </cell>
          <cell r="AX62">
            <v>42803</v>
          </cell>
          <cell r="AY62">
            <v>0</v>
          </cell>
          <cell r="BB62">
            <v>42803</v>
          </cell>
          <cell r="BC62">
            <v>0</v>
          </cell>
          <cell r="BF62">
            <v>42803</v>
          </cell>
          <cell r="BG62">
            <v>0</v>
          </cell>
          <cell r="BJ62">
            <v>501950</v>
          </cell>
          <cell r="BK62">
            <v>111510</v>
          </cell>
          <cell r="BN62">
            <v>390440</v>
          </cell>
        </row>
        <row r="63">
          <cell r="B63" t="str">
            <v>Tecnologia da Informação</v>
          </cell>
          <cell r="E63" t="str">
            <v>Software e Licenças</v>
          </cell>
          <cell r="N63">
            <v>0</v>
          </cell>
          <cell r="O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Z63">
            <v>0</v>
          </cell>
          <cell r="AD63">
            <v>0</v>
          </cell>
          <cell r="AE63">
            <v>0</v>
          </cell>
          <cell r="AH63">
            <v>0</v>
          </cell>
          <cell r="AI63">
            <v>0</v>
          </cell>
          <cell r="AL63">
            <v>0</v>
          </cell>
          <cell r="AM63">
            <v>0</v>
          </cell>
          <cell r="AP63">
            <v>0</v>
          </cell>
          <cell r="AT63">
            <v>0</v>
          </cell>
          <cell r="AU63">
            <v>0</v>
          </cell>
          <cell r="AX63">
            <v>0</v>
          </cell>
          <cell r="AY63">
            <v>0</v>
          </cell>
          <cell r="BB63">
            <v>0</v>
          </cell>
          <cell r="BC63">
            <v>0</v>
          </cell>
          <cell r="BF63">
            <v>0</v>
          </cell>
          <cell r="BG63">
            <v>0</v>
          </cell>
          <cell r="BJ63">
            <v>0</v>
          </cell>
          <cell r="BK63">
            <v>0</v>
          </cell>
          <cell r="BN63">
            <v>0</v>
          </cell>
        </row>
        <row r="64">
          <cell r="B64" t="str">
            <v>Tecnologia da Informação</v>
          </cell>
          <cell r="E64" t="str">
            <v>Software e Licenças</v>
          </cell>
          <cell r="N64">
            <v>0</v>
          </cell>
          <cell r="O64">
            <v>3867.85</v>
          </cell>
          <cell r="R64">
            <v>0</v>
          </cell>
          <cell r="S64">
            <v>3809.7</v>
          </cell>
          <cell r="V64">
            <v>0</v>
          </cell>
          <cell r="W64">
            <v>3809.88</v>
          </cell>
          <cell r="Z64">
            <v>0</v>
          </cell>
          <cell r="AA64">
            <v>0</v>
          </cell>
          <cell r="AD64">
            <v>0</v>
          </cell>
          <cell r="AE64">
            <v>0</v>
          </cell>
          <cell r="AH64">
            <v>0</v>
          </cell>
          <cell r="AI64">
            <v>0</v>
          </cell>
          <cell r="AL64">
            <v>0</v>
          </cell>
          <cell r="AM64">
            <v>0</v>
          </cell>
          <cell r="AP64">
            <v>0</v>
          </cell>
          <cell r="AQ64">
            <v>0</v>
          </cell>
          <cell r="AT64">
            <v>0</v>
          </cell>
          <cell r="AU64">
            <v>0</v>
          </cell>
          <cell r="AX64">
            <v>0</v>
          </cell>
          <cell r="AY64">
            <v>0</v>
          </cell>
          <cell r="BB64">
            <v>0</v>
          </cell>
          <cell r="BC64">
            <v>0</v>
          </cell>
          <cell r="BF64">
            <v>0</v>
          </cell>
          <cell r="BG64">
            <v>0</v>
          </cell>
          <cell r="BJ64">
            <v>0</v>
          </cell>
          <cell r="BK64">
            <v>11487.43</v>
          </cell>
          <cell r="BN64">
            <v>-11487.43</v>
          </cell>
        </row>
        <row r="65">
          <cell r="B65" t="str">
            <v>Tecnologia da Informação</v>
          </cell>
          <cell r="E65" t="str">
            <v>Software e Licenças</v>
          </cell>
          <cell r="N65">
            <v>1247</v>
          </cell>
          <cell r="O65">
            <v>1567.17</v>
          </cell>
          <cell r="R65">
            <v>1247</v>
          </cell>
          <cell r="S65">
            <v>1602.72</v>
          </cell>
          <cell r="V65">
            <v>1301</v>
          </cell>
          <cell r="W65">
            <v>1602.72</v>
          </cell>
          <cell r="Z65">
            <v>1301</v>
          </cell>
          <cell r="AD65">
            <v>1487</v>
          </cell>
          <cell r="AE65">
            <v>0</v>
          </cell>
          <cell r="AH65">
            <v>1487</v>
          </cell>
          <cell r="AI65">
            <v>0</v>
          </cell>
          <cell r="AL65">
            <v>1487</v>
          </cell>
          <cell r="AM65">
            <v>0</v>
          </cell>
          <cell r="AP65">
            <v>1487</v>
          </cell>
          <cell r="AT65">
            <v>1487</v>
          </cell>
          <cell r="AU65">
            <v>0</v>
          </cell>
          <cell r="AX65">
            <v>1487</v>
          </cell>
          <cell r="AY65">
            <v>0</v>
          </cell>
          <cell r="BB65">
            <v>1487</v>
          </cell>
          <cell r="BC65">
            <v>0</v>
          </cell>
          <cell r="BF65">
            <v>1487</v>
          </cell>
          <cell r="BG65">
            <v>0</v>
          </cell>
          <cell r="BJ65">
            <v>16992</v>
          </cell>
          <cell r="BK65">
            <v>4772.6100000000006</v>
          </cell>
          <cell r="BN65">
            <v>12219.39</v>
          </cell>
        </row>
        <row r="66">
          <cell r="B66" t="str">
            <v>Tecnologia da Informação</v>
          </cell>
          <cell r="E66" t="str">
            <v>Software e Licenças</v>
          </cell>
          <cell r="N66">
            <v>2028</v>
          </cell>
          <cell r="O66">
            <v>3601.88</v>
          </cell>
          <cell r="R66">
            <v>2028</v>
          </cell>
          <cell r="S66">
            <v>4283.2700000000004</v>
          </cell>
          <cell r="V66">
            <v>2117</v>
          </cell>
          <cell r="W66">
            <v>6928.17</v>
          </cell>
          <cell r="Z66">
            <v>2117</v>
          </cell>
          <cell r="AD66">
            <v>2294</v>
          </cell>
          <cell r="AE66">
            <v>0</v>
          </cell>
          <cell r="AH66">
            <v>2294</v>
          </cell>
          <cell r="AI66">
            <v>0</v>
          </cell>
          <cell r="AL66">
            <v>2294</v>
          </cell>
          <cell r="AM66">
            <v>0</v>
          </cell>
          <cell r="AP66">
            <v>2294</v>
          </cell>
          <cell r="AT66">
            <v>2294</v>
          </cell>
          <cell r="AU66">
            <v>0</v>
          </cell>
          <cell r="AX66">
            <v>2294</v>
          </cell>
          <cell r="AY66">
            <v>0</v>
          </cell>
          <cell r="BB66">
            <v>2294</v>
          </cell>
          <cell r="BC66">
            <v>0</v>
          </cell>
          <cell r="BF66">
            <v>2294</v>
          </cell>
          <cell r="BG66">
            <v>0</v>
          </cell>
          <cell r="BJ66">
            <v>26642</v>
          </cell>
          <cell r="BK66">
            <v>14813.32</v>
          </cell>
          <cell r="BN66">
            <v>11828.68</v>
          </cell>
        </row>
        <row r="67">
          <cell r="B67" t="str">
            <v>Tecnologia da Informação</v>
          </cell>
          <cell r="E67" t="str">
            <v>Software e Licenças</v>
          </cell>
          <cell r="N67">
            <v>275</v>
          </cell>
          <cell r="O67">
            <v>183.16</v>
          </cell>
          <cell r="R67">
            <v>275</v>
          </cell>
          <cell r="S67">
            <v>183.16</v>
          </cell>
          <cell r="V67">
            <v>287</v>
          </cell>
          <cell r="W67">
            <v>183.16</v>
          </cell>
          <cell r="Z67">
            <v>287</v>
          </cell>
          <cell r="AD67">
            <v>382</v>
          </cell>
          <cell r="AE67">
            <v>0</v>
          </cell>
          <cell r="AH67">
            <v>382</v>
          </cell>
          <cell r="AI67">
            <v>0</v>
          </cell>
          <cell r="AL67">
            <v>382</v>
          </cell>
          <cell r="AM67">
            <v>0</v>
          </cell>
          <cell r="AP67">
            <v>382</v>
          </cell>
          <cell r="AT67">
            <v>382</v>
          </cell>
          <cell r="AU67">
            <v>0</v>
          </cell>
          <cell r="AX67">
            <v>382</v>
          </cell>
          <cell r="AY67">
            <v>0</v>
          </cell>
          <cell r="BB67">
            <v>382</v>
          </cell>
          <cell r="BC67">
            <v>0</v>
          </cell>
          <cell r="BF67">
            <v>382</v>
          </cell>
          <cell r="BG67">
            <v>0</v>
          </cell>
          <cell r="BJ67">
            <v>4180</v>
          </cell>
          <cell r="BK67">
            <v>549.48</v>
          </cell>
          <cell r="BN67">
            <v>3630.52</v>
          </cell>
        </row>
        <row r="68">
          <cell r="B68" t="str">
            <v>Tecnologia da Informação</v>
          </cell>
          <cell r="E68" t="str">
            <v>Software e Licenças</v>
          </cell>
          <cell r="N68">
            <v>397</v>
          </cell>
          <cell r="O68">
            <v>397.42</v>
          </cell>
          <cell r="R68">
            <v>397</v>
          </cell>
          <cell r="S68">
            <v>397.42</v>
          </cell>
          <cell r="V68">
            <v>397</v>
          </cell>
          <cell r="W68">
            <v>397.42</v>
          </cell>
          <cell r="Z68">
            <v>397</v>
          </cell>
          <cell r="AD68">
            <v>397</v>
          </cell>
          <cell r="AE68">
            <v>0</v>
          </cell>
          <cell r="AH68">
            <v>397</v>
          </cell>
          <cell r="AI68">
            <v>0</v>
          </cell>
          <cell r="AL68">
            <v>397</v>
          </cell>
          <cell r="AM68">
            <v>0</v>
          </cell>
          <cell r="AP68">
            <v>397</v>
          </cell>
          <cell r="AT68">
            <v>397</v>
          </cell>
          <cell r="AU68">
            <v>0</v>
          </cell>
          <cell r="AX68">
            <v>397</v>
          </cell>
          <cell r="AY68">
            <v>0</v>
          </cell>
          <cell r="BB68">
            <v>397</v>
          </cell>
          <cell r="BC68">
            <v>0</v>
          </cell>
          <cell r="BF68">
            <v>397</v>
          </cell>
          <cell r="BG68">
            <v>0</v>
          </cell>
          <cell r="BJ68">
            <v>4764</v>
          </cell>
          <cell r="BK68">
            <v>1192.26</v>
          </cell>
          <cell r="BN68">
            <v>3571.74</v>
          </cell>
        </row>
        <row r="69">
          <cell r="B69" t="str">
            <v>Tecnologia da Informação</v>
          </cell>
          <cell r="E69" t="str">
            <v>Software e Licenças</v>
          </cell>
          <cell r="N69">
            <v>0</v>
          </cell>
          <cell r="O69">
            <v>0</v>
          </cell>
          <cell r="R69">
            <v>0</v>
          </cell>
          <cell r="S69">
            <v>9087.5400000000009</v>
          </cell>
          <cell r="V69">
            <v>0</v>
          </cell>
          <cell r="W69">
            <v>0</v>
          </cell>
          <cell r="Z69">
            <v>0</v>
          </cell>
          <cell r="AA69">
            <v>0</v>
          </cell>
          <cell r="AD69">
            <v>0</v>
          </cell>
          <cell r="AE69">
            <v>0</v>
          </cell>
          <cell r="AH69">
            <v>0</v>
          </cell>
          <cell r="AI69">
            <v>0</v>
          </cell>
          <cell r="AL69">
            <v>0</v>
          </cell>
          <cell r="AM69">
            <v>0</v>
          </cell>
          <cell r="AP69">
            <v>0</v>
          </cell>
          <cell r="AQ69">
            <v>0</v>
          </cell>
          <cell r="AT69">
            <v>0</v>
          </cell>
          <cell r="AU69">
            <v>0</v>
          </cell>
          <cell r="AX69">
            <v>0</v>
          </cell>
          <cell r="AY69">
            <v>0</v>
          </cell>
          <cell r="BB69">
            <v>0</v>
          </cell>
          <cell r="BC69">
            <v>0</v>
          </cell>
          <cell r="BF69">
            <v>0</v>
          </cell>
          <cell r="BG69">
            <v>0</v>
          </cell>
          <cell r="BJ69">
            <v>0</v>
          </cell>
          <cell r="BK69">
            <v>9087.5400000000009</v>
          </cell>
          <cell r="BN69">
            <v>-9087.5400000000009</v>
          </cell>
        </row>
        <row r="70">
          <cell r="B70" t="str">
            <v>Tecnologia da Informação</v>
          </cell>
          <cell r="E70" t="str">
            <v>Software e Licenças</v>
          </cell>
          <cell r="N70">
            <v>0</v>
          </cell>
          <cell r="O70">
            <v>0</v>
          </cell>
          <cell r="R70">
            <v>0</v>
          </cell>
          <cell r="S70">
            <v>206.1</v>
          </cell>
          <cell r="V70">
            <v>0</v>
          </cell>
          <cell r="W70">
            <v>0</v>
          </cell>
          <cell r="Z70">
            <v>0</v>
          </cell>
          <cell r="AA70">
            <v>0</v>
          </cell>
          <cell r="AD70">
            <v>0</v>
          </cell>
          <cell r="AE70">
            <v>0</v>
          </cell>
          <cell r="AH70">
            <v>0</v>
          </cell>
          <cell r="AI70">
            <v>0</v>
          </cell>
          <cell r="AL70">
            <v>0</v>
          </cell>
          <cell r="AM70">
            <v>0</v>
          </cell>
          <cell r="AP70">
            <v>0</v>
          </cell>
          <cell r="AQ70">
            <v>0</v>
          </cell>
          <cell r="AT70">
            <v>0</v>
          </cell>
          <cell r="AU70">
            <v>0</v>
          </cell>
          <cell r="AX70">
            <v>0</v>
          </cell>
          <cell r="AY70">
            <v>0</v>
          </cell>
          <cell r="BB70">
            <v>0</v>
          </cell>
          <cell r="BC70">
            <v>0</v>
          </cell>
          <cell r="BF70">
            <v>0</v>
          </cell>
          <cell r="BG70">
            <v>0</v>
          </cell>
          <cell r="BJ70">
            <v>0</v>
          </cell>
          <cell r="BK70">
            <v>206.1</v>
          </cell>
          <cell r="BN70">
            <v>-206.1</v>
          </cell>
        </row>
        <row r="71">
          <cell r="B71" t="str">
            <v>Tecnologia da Informação</v>
          </cell>
          <cell r="E71" t="str">
            <v>Software e Licenças</v>
          </cell>
          <cell r="N71">
            <v>2164</v>
          </cell>
          <cell r="O71">
            <v>0</v>
          </cell>
          <cell r="R71">
            <v>2164</v>
          </cell>
          <cell r="S71">
            <v>0</v>
          </cell>
          <cell r="V71">
            <v>2164</v>
          </cell>
          <cell r="W71">
            <v>0</v>
          </cell>
          <cell r="Z71">
            <v>2164</v>
          </cell>
          <cell r="AD71">
            <v>2164</v>
          </cell>
          <cell r="AE71">
            <v>0</v>
          </cell>
          <cell r="AH71">
            <v>2164</v>
          </cell>
          <cell r="AI71">
            <v>0</v>
          </cell>
          <cell r="AL71">
            <v>2164</v>
          </cell>
          <cell r="AM71">
            <v>0</v>
          </cell>
          <cell r="AP71">
            <v>2164</v>
          </cell>
          <cell r="AQ71">
            <v>0</v>
          </cell>
          <cell r="AT71">
            <v>2164</v>
          </cell>
          <cell r="AU71">
            <v>0</v>
          </cell>
          <cell r="AX71">
            <v>2164</v>
          </cell>
          <cell r="AY71">
            <v>0</v>
          </cell>
          <cell r="BB71">
            <v>2164</v>
          </cell>
          <cell r="BC71">
            <v>0</v>
          </cell>
          <cell r="BF71">
            <v>2164</v>
          </cell>
          <cell r="BG71">
            <v>0</v>
          </cell>
          <cell r="BJ71">
            <v>25968</v>
          </cell>
          <cell r="BK71">
            <v>0</v>
          </cell>
          <cell r="BN71">
            <v>25968</v>
          </cell>
        </row>
        <row r="72">
          <cell r="B72" t="str">
            <v>Tecnologia da Informação</v>
          </cell>
          <cell r="E72" t="str">
            <v>Software e Licenças</v>
          </cell>
          <cell r="N72">
            <v>32433</v>
          </cell>
          <cell r="O72">
            <v>0</v>
          </cell>
          <cell r="R72">
            <v>32433</v>
          </cell>
          <cell r="S72">
            <v>0</v>
          </cell>
          <cell r="V72">
            <v>32433</v>
          </cell>
          <cell r="W72">
            <v>0</v>
          </cell>
          <cell r="Z72">
            <v>32433</v>
          </cell>
          <cell r="AD72">
            <v>32433</v>
          </cell>
          <cell r="AE72">
            <v>0</v>
          </cell>
          <cell r="AH72">
            <v>32433</v>
          </cell>
          <cell r="AI72">
            <v>0</v>
          </cell>
          <cell r="AL72">
            <v>32433</v>
          </cell>
          <cell r="AM72">
            <v>0</v>
          </cell>
          <cell r="AP72">
            <v>32433</v>
          </cell>
          <cell r="AQ72">
            <v>0</v>
          </cell>
          <cell r="AT72">
            <v>32433</v>
          </cell>
          <cell r="AU72">
            <v>0</v>
          </cell>
          <cell r="AX72">
            <v>32433</v>
          </cell>
          <cell r="AY72">
            <v>0</v>
          </cell>
          <cell r="BB72">
            <v>32433</v>
          </cell>
          <cell r="BC72">
            <v>0</v>
          </cell>
          <cell r="BF72">
            <v>32433</v>
          </cell>
          <cell r="BG72">
            <v>0</v>
          </cell>
          <cell r="BJ72">
            <v>389196</v>
          </cell>
          <cell r="BK72">
            <v>0</v>
          </cell>
          <cell r="BN72">
            <v>389196</v>
          </cell>
        </row>
        <row r="73">
          <cell r="B73" t="str">
            <v>Tecnologia da Informação</v>
          </cell>
          <cell r="E73" t="str">
            <v>Software e Licenças</v>
          </cell>
          <cell r="N73">
            <v>5718</v>
          </cell>
          <cell r="O73">
            <v>0</v>
          </cell>
          <cell r="R73">
            <v>5718</v>
          </cell>
          <cell r="S73">
            <v>0</v>
          </cell>
          <cell r="V73">
            <v>5718</v>
          </cell>
          <cell r="W73">
            <v>0</v>
          </cell>
          <cell r="Z73">
            <v>5718</v>
          </cell>
          <cell r="AD73">
            <v>5718</v>
          </cell>
          <cell r="AE73">
            <v>0</v>
          </cell>
          <cell r="AH73">
            <v>5718</v>
          </cell>
          <cell r="AI73">
            <v>0</v>
          </cell>
          <cell r="AL73">
            <v>5718</v>
          </cell>
          <cell r="AM73">
            <v>0</v>
          </cell>
          <cell r="AP73">
            <v>5718</v>
          </cell>
          <cell r="AQ73">
            <v>0</v>
          </cell>
          <cell r="AT73">
            <v>5718</v>
          </cell>
          <cell r="AU73">
            <v>0</v>
          </cell>
          <cell r="AX73">
            <v>5718</v>
          </cell>
          <cell r="AY73">
            <v>0</v>
          </cell>
          <cell r="BB73">
            <v>5718</v>
          </cell>
          <cell r="BC73">
            <v>0</v>
          </cell>
          <cell r="BF73">
            <v>5718</v>
          </cell>
          <cell r="BG73">
            <v>0</v>
          </cell>
          <cell r="BJ73">
            <v>68616</v>
          </cell>
          <cell r="BK73">
            <v>0</v>
          </cell>
          <cell r="BN73">
            <v>68616</v>
          </cell>
        </row>
        <row r="74">
          <cell r="B74" t="str">
            <v>Tecnologia da Informação</v>
          </cell>
          <cell r="E74" t="str">
            <v>Software e Licenças</v>
          </cell>
          <cell r="N74">
            <v>0</v>
          </cell>
          <cell r="O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Z74">
            <v>0</v>
          </cell>
          <cell r="AD74">
            <v>0</v>
          </cell>
          <cell r="AE74">
            <v>0</v>
          </cell>
          <cell r="AH74">
            <v>0</v>
          </cell>
          <cell r="AI74">
            <v>0</v>
          </cell>
          <cell r="AL74">
            <v>0</v>
          </cell>
          <cell r="AM74">
            <v>0</v>
          </cell>
          <cell r="AP74">
            <v>0</v>
          </cell>
          <cell r="AQ74">
            <v>0</v>
          </cell>
          <cell r="AT74">
            <v>0</v>
          </cell>
          <cell r="AU74">
            <v>0</v>
          </cell>
          <cell r="AX74">
            <v>0</v>
          </cell>
          <cell r="AY74">
            <v>0</v>
          </cell>
          <cell r="BB74">
            <v>0</v>
          </cell>
          <cell r="BC74">
            <v>0</v>
          </cell>
          <cell r="BF74">
            <v>0</v>
          </cell>
          <cell r="BG74">
            <v>0</v>
          </cell>
          <cell r="BJ74">
            <v>0</v>
          </cell>
          <cell r="BK74">
            <v>0</v>
          </cell>
          <cell r="BN74">
            <v>0</v>
          </cell>
        </row>
        <row r="75">
          <cell r="B75" t="str">
            <v>Tecnologia da Informação</v>
          </cell>
          <cell r="E75" t="str">
            <v>Software e Licenças</v>
          </cell>
          <cell r="N75">
            <v>4711</v>
          </cell>
          <cell r="O75">
            <v>0</v>
          </cell>
          <cell r="R75">
            <v>4711</v>
          </cell>
          <cell r="S75">
            <v>0</v>
          </cell>
          <cell r="V75">
            <v>4711</v>
          </cell>
          <cell r="W75">
            <v>0</v>
          </cell>
          <cell r="Z75">
            <v>4711</v>
          </cell>
          <cell r="AD75">
            <v>4711</v>
          </cell>
          <cell r="AE75">
            <v>0</v>
          </cell>
          <cell r="AH75">
            <v>4711</v>
          </cell>
          <cell r="AI75">
            <v>0</v>
          </cell>
          <cell r="AL75">
            <v>4711</v>
          </cell>
          <cell r="AM75">
            <v>0</v>
          </cell>
          <cell r="AP75">
            <v>4711</v>
          </cell>
          <cell r="AQ75">
            <v>0</v>
          </cell>
          <cell r="AT75">
            <v>4711</v>
          </cell>
          <cell r="AU75">
            <v>0</v>
          </cell>
          <cell r="AX75">
            <v>4711</v>
          </cell>
          <cell r="AY75">
            <v>0</v>
          </cell>
          <cell r="BB75">
            <v>4711</v>
          </cell>
          <cell r="BC75">
            <v>0</v>
          </cell>
          <cell r="BF75">
            <v>4711</v>
          </cell>
          <cell r="BG75">
            <v>0</v>
          </cell>
          <cell r="BJ75">
            <v>56532</v>
          </cell>
          <cell r="BK75">
            <v>0</v>
          </cell>
          <cell r="BN75">
            <v>56532</v>
          </cell>
        </row>
        <row r="76">
          <cell r="B76" t="str">
            <v>Tecnologia da Informação</v>
          </cell>
          <cell r="E76" t="str">
            <v>Software e Licenças</v>
          </cell>
          <cell r="N76">
            <v>33000</v>
          </cell>
          <cell r="O76">
            <v>0</v>
          </cell>
          <cell r="R76">
            <v>33000</v>
          </cell>
          <cell r="S76">
            <v>0</v>
          </cell>
          <cell r="V76">
            <v>33000</v>
          </cell>
          <cell r="W76">
            <v>0</v>
          </cell>
          <cell r="Z76">
            <v>33000</v>
          </cell>
          <cell r="AD76">
            <v>33000</v>
          </cell>
          <cell r="AE76">
            <v>0</v>
          </cell>
          <cell r="AH76">
            <v>33000</v>
          </cell>
          <cell r="AI76">
            <v>0</v>
          </cell>
          <cell r="AL76">
            <v>33000</v>
          </cell>
          <cell r="AM76">
            <v>0</v>
          </cell>
          <cell r="AP76">
            <v>33000</v>
          </cell>
          <cell r="AT76">
            <v>33000</v>
          </cell>
          <cell r="AU76">
            <v>0</v>
          </cell>
          <cell r="AX76">
            <v>33000</v>
          </cell>
          <cell r="AY76">
            <v>0</v>
          </cell>
          <cell r="BB76">
            <v>33000</v>
          </cell>
          <cell r="BC76">
            <v>0</v>
          </cell>
          <cell r="BF76">
            <v>33000</v>
          </cell>
          <cell r="BG76">
            <v>0</v>
          </cell>
          <cell r="BJ76">
            <v>396000</v>
          </cell>
          <cell r="BK76">
            <v>0</v>
          </cell>
          <cell r="BN76">
            <v>396000</v>
          </cell>
        </row>
        <row r="77">
          <cell r="B77" t="str">
            <v>Tecnologia da Informação</v>
          </cell>
          <cell r="E77" t="str">
            <v>Software e Licenças</v>
          </cell>
          <cell r="N77">
            <v>97011.72</v>
          </cell>
          <cell r="O77">
            <v>0</v>
          </cell>
          <cell r="R77">
            <v>113661.72</v>
          </cell>
          <cell r="S77">
            <v>0</v>
          </cell>
          <cell r="V77">
            <v>113661.72</v>
          </cell>
          <cell r="W77">
            <v>0</v>
          </cell>
          <cell r="Z77">
            <v>0</v>
          </cell>
          <cell r="AA77">
            <v>0</v>
          </cell>
          <cell r="AD77">
            <v>113661.72</v>
          </cell>
          <cell r="AE77">
            <v>0</v>
          </cell>
          <cell r="AH77">
            <v>113661.72</v>
          </cell>
          <cell r="AI77">
            <v>0</v>
          </cell>
          <cell r="AL77">
            <v>113661.72</v>
          </cell>
          <cell r="AM77">
            <v>0</v>
          </cell>
          <cell r="AP77">
            <v>113661.72</v>
          </cell>
          <cell r="AT77">
            <v>113661.72</v>
          </cell>
          <cell r="AU77">
            <v>0</v>
          </cell>
          <cell r="AX77">
            <v>113661.72</v>
          </cell>
          <cell r="AY77">
            <v>0</v>
          </cell>
          <cell r="BB77">
            <v>113661.72</v>
          </cell>
          <cell r="BC77">
            <v>0</v>
          </cell>
          <cell r="BF77">
            <v>113661.72</v>
          </cell>
          <cell r="BG77">
            <v>0</v>
          </cell>
          <cell r="BJ77">
            <v>1233628.92</v>
          </cell>
          <cell r="BK77">
            <v>0</v>
          </cell>
          <cell r="BN77">
            <v>1233628.92</v>
          </cell>
        </row>
        <row r="78">
          <cell r="B78" t="str">
            <v>Tecnologia da Informação</v>
          </cell>
          <cell r="E78" t="str">
            <v>Software e Licenças</v>
          </cell>
          <cell r="N78">
            <v>158349.68</v>
          </cell>
          <cell r="O78">
            <v>0</v>
          </cell>
          <cell r="R78">
            <v>158349.68</v>
          </cell>
          <cell r="S78">
            <v>0</v>
          </cell>
          <cell r="V78">
            <v>158349.68</v>
          </cell>
          <cell r="W78">
            <v>0</v>
          </cell>
          <cell r="Z78">
            <v>0</v>
          </cell>
          <cell r="AA78">
            <v>0</v>
          </cell>
          <cell r="AD78">
            <v>158349.68</v>
          </cell>
          <cell r="AE78">
            <v>0</v>
          </cell>
          <cell r="AH78">
            <v>158349.68</v>
          </cell>
          <cell r="AI78">
            <v>0</v>
          </cell>
          <cell r="AL78">
            <v>158349.68</v>
          </cell>
          <cell r="AM78">
            <v>0</v>
          </cell>
          <cell r="AP78">
            <v>158349.68</v>
          </cell>
          <cell r="AT78">
            <v>158349.68</v>
          </cell>
          <cell r="AU78">
            <v>0</v>
          </cell>
          <cell r="AX78">
            <v>158349.68</v>
          </cell>
          <cell r="AY78">
            <v>0</v>
          </cell>
          <cell r="BB78">
            <v>158349.68</v>
          </cell>
          <cell r="BC78">
            <v>0</v>
          </cell>
          <cell r="BF78">
            <v>158349.68</v>
          </cell>
          <cell r="BG78">
            <v>0</v>
          </cell>
          <cell r="BJ78">
            <v>1741846.4799999995</v>
          </cell>
          <cell r="BK78">
            <v>0</v>
          </cell>
          <cell r="BN78">
            <v>1741846.4799999995</v>
          </cell>
        </row>
        <row r="79">
          <cell r="B79" t="str">
            <v>Tecnologia da Informação</v>
          </cell>
          <cell r="E79" t="str">
            <v>Consultoria e Serviços Especializados</v>
          </cell>
          <cell r="N79">
            <v>726</v>
          </cell>
          <cell r="O79">
            <v>0</v>
          </cell>
          <cell r="R79">
            <v>726</v>
          </cell>
          <cell r="S79">
            <v>0</v>
          </cell>
          <cell r="V79">
            <v>726</v>
          </cell>
          <cell r="W79">
            <v>0</v>
          </cell>
          <cell r="Z79">
            <v>0</v>
          </cell>
          <cell r="AA79">
            <v>0</v>
          </cell>
          <cell r="AD79">
            <v>726</v>
          </cell>
          <cell r="AE79">
            <v>0</v>
          </cell>
          <cell r="AH79">
            <v>726</v>
          </cell>
          <cell r="AI79">
            <v>0</v>
          </cell>
          <cell r="AL79">
            <v>726</v>
          </cell>
          <cell r="AM79">
            <v>0</v>
          </cell>
          <cell r="AP79">
            <v>726</v>
          </cell>
          <cell r="AQ79">
            <v>0</v>
          </cell>
          <cell r="AT79">
            <v>726</v>
          </cell>
          <cell r="AU79">
            <v>0</v>
          </cell>
          <cell r="AX79">
            <v>726</v>
          </cell>
          <cell r="AY79">
            <v>0</v>
          </cell>
          <cell r="BB79">
            <v>726</v>
          </cell>
          <cell r="BC79">
            <v>0</v>
          </cell>
          <cell r="BF79">
            <v>726</v>
          </cell>
          <cell r="BG79">
            <v>0</v>
          </cell>
          <cell r="BJ79">
            <v>7986</v>
          </cell>
          <cell r="BK79">
            <v>0</v>
          </cell>
          <cell r="BN79">
            <v>7986</v>
          </cell>
        </row>
        <row r="80">
          <cell r="B80" t="str">
            <v>Tecnologia da Informação</v>
          </cell>
          <cell r="E80" t="str">
            <v>Treinamento e Capacitação</v>
          </cell>
          <cell r="N80">
            <v>35000</v>
          </cell>
          <cell r="O80">
            <v>0</v>
          </cell>
          <cell r="R80">
            <v>0</v>
          </cell>
          <cell r="S80">
            <v>0</v>
          </cell>
          <cell r="V80">
            <v>0</v>
          </cell>
          <cell r="W80">
            <v>0</v>
          </cell>
          <cell r="Z80">
            <v>0</v>
          </cell>
          <cell r="AA80">
            <v>0</v>
          </cell>
          <cell r="AD80">
            <v>0</v>
          </cell>
          <cell r="AE80">
            <v>0</v>
          </cell>
          <cell r="AH80">
            <v>0</v>
          </cell>
          <cell r="AI80">
            <v>0</v>
          </cell>
          <cell r="AL80">
            <v>0</v>
          </cell>
          <cell r="AM80">
            <v>0</v>
          </cell>
          <cell r="AP80">
            <v>0</v>
          </cell>
          <cell r="AQ80">
            <v>0</v>
          </cell>
          <cell r="AT80">
            <v>0</v>
          </cell>
          <cell r="AU80">
            <v>0</v>
          </cell>
          <cell r="AX80">
            <v>0</v>
          </cell>
          <cell r="AY80">
            <v>0</v>
          </cell>
          <cell r="BB80">
            <v>0</v>
          </cell>
          <cell r="BC80">
            <v>0</v>
          </cell>
          <cell r="BF80">
            <v>0</v>
          </cell>
          <cell r="BG80">
            <v>0</v>
          </cell>
          <cell r="BJ80">
            <v>35000</v>
          </cell>
          <cell r="BK80">
            <v>0</v>
          </cell>
          <cell r="BN80">
            <v>35000</v>
          </cell>
        </row>
        <row r="81">
          <cell r="B81" t="str">
            <v>Tecnologia da Informação</v>
          </cell>
          <cell r="E81" t="str">
            <v>Software e Licenças</v>
          </cell>
          <cell r="N81">
            <v>0</v>
          </cell>
          <cell r="O81">
            <v>899</v>
          </cell>
          <cell r="S81">
            <v>899</v>
          </cell>
          <cell r="V81">
            <v>0</v>
          </cell>
          <cell r="W81">
            <v>899</v>
          </cell>
          <cell r="Z81">
            <v>0</v>
          </cell>
          <cell r="AA81">
            <v>0</v>
          </cell>
          <cell r="AD81">
            <v>0</v>
          </cell>
          <cell r="AE81">
            <v>0</v>
          </cell>
          <cell r="AH81">
            <v>0</v>
          </cell>
          <cell r="AI81">
            <v>0</v>
          </cell>
          <cell r="AL81">
            <v>0</v>
          </cell>
          <cell r="AM81">
            <v>0</v>
          </cell>
          <cell r="AP81">
            <v>0</v>
          </cell>
          <cell r="AQ81">
            <v>0</v>
          </cell>
          <cell r="AT81">
            <v>0</v>
          </cell>
          <cell r="AU81">
            <v>0</v>
          </cell>
          <cell r="AX81">
            <v>0</v>
          </cell>
          <cell r="AY81">
            <v>0</v>
          </cell>
          <cell r="BB81">
            <v>0</v>
          </cell>
          <cell r="BC81">
            <v>0</v>
          </cell>
          <cell r="BF81">
            <v>0</v>
          </cell>
          <cell r="BG81">
            <v>0</v>
          </cell>
          <cell r="BJ81">
            <v>0</v>
          </cell>
          <cell r="BK81">
            <v>2697</v>
          </cell>
          <cell r="BN81">
            <v>-2697</v>
          </cell>
        </row>
        <row r="82">
          <cell r="B82" t="str">
            <v>Tecnologia da Informação</v>
          </cell>
          <cell r="E82" t="str">
            <v>Software e Licenças</v>
          </cell>
          <cell r="N82">
            <v>530408</v>
          </cell>
          <cell r="O82">
            <v>530408</v>
          </cell>
          <cell r="R82">
            <v>747640.82</v>
          </cell>
          <cell r="S82">
            <v>747640.82</v>
          </cell>
          <cell r="V82">
            <v>691983.35</v>
          </cell>
          <cell r="W82">
            <v>617943.56999999995</v>
          </cell>
          <cell r="Z82">
            <v>0</v>
          </cell>
          <cell r="AA82">
            <v>0</v>
          </cell>
          <cell r="AD82">
            <v>0</v>
          </cell>
          <cell r="AE82">
            <v>0</v>
          </cell>
          <cell r="AH82">
            <v>0</v>
          </cell>
          <cell r="AI82">
            <v>0</v>
          </cell>
          <cell r="AL82">
            <v>0</v>
          </cell>
          <cell r="AM82">
            <v>0</v>
          </cell>
          <cell r="AP82">
            <v>0</v>
          </cell>
          <cell r="AQ82">
            <v>0</v>
          </cell>
          <cell r="AT82">
            <v>0</v>
          </cell>
          <cell r="AU82">
            <v>0</v>
          </cell>
          <cell r="AX82">
            <v>0</v>
          </cell>
          <cell r="AY82">
            <v>0</v>
          </cell>
          <cell r="BB82">
            <v>0</v>
          </cell>
          <cell r="BC82">
            <v>0</v>
          </cell>
          <cell r="BF82">
            <v>0</v>
          </cell>
          <cell r="BG82">
            <v>0</v>
          </cell>
          <cell r="BJ82">
            <v>1970032.17</v>
          </cell>
          <cell r="BK82">
            <v>1895992.39</v>
          </cell>
          <cell r="BN82">
            <v>74039.780000000028</v>
          </cell>
        </row>
        <row r="83">
          <cell r="B83" t="str">
            <v>Tecnologia da Informação</v>
          </cell>
          <cell r="E83" t="str">
            <v>Redes e Conectividade</v>
          </cell>
          <cell r="N83">
            <v>11000</v>
          </cell>
          <cell r="O83">
            <v>11316.48</v>
          </cell>
          <cell r="R83">
            <v>11000</v>
          </cell>
          <cell r="S83">
            <v>11808.02</v>
          </cell>
          <cell r="V83">
            <v>11000</v>
          </cell>
          <cell r="W83">
            <v>11877.41</v>
          </cell>
          <cell r="Z83">
            <v>11000</v>
          </cell>
          <cell r="AD83">
            <v>11000</v>
          </cell>
          <cell r="AE83">
            <v>0</v>
          </cell>
          <cell r="AH83">
            <v>11000</v>
          </cell>
          <cell r="AI83">
            <v>0</v>
          </cell>
          <cell r="AL83">
            <v>11000</v>
          </cell>
          <cell r="AM83">
            <v>0</v>
          </cell>
          <cell r="AP83">
            <v>11000</v>
          </cell>
          <cell r="AT83">
            <v>11000</v>
          </cell>
          <cell r="AU83">
            <v>0</v>
          </cell>
          <cell r="AX83">
            <v>11000</v>
          </cell>
          <cell r="AY83">
            <v>0</v>
          </cell>
          <cell r="BB83">
            <v>11000</v>
          </cell>
          <cell r="BC83">
            <v>0</v>
          </cell>
          <cell r="BF83">
            <v>11000</v>
          </cell>
          <cell r="BG83">
            <v>0</v>
          </cell>
          <cell r="BJ83">
            <v>132000</v>
          </cell>
          <cell r="BK83">
            <v>35001.910000000003</v>
          </cell>
          <cell r="BN83">
            <v>96998.09</v>
          </cell>
        </row>
        <row r="84">
          <cell r="B84" t="str">
            <v>Tecnologia da Informação</v>
          </cell>
          <cell r="E84" t="str">
            <v>Software e Licenças</v>
          </cell>
          <cell r="N84">
            <v>1250</v>
          </cell>
          <cell r="O84">
            <v>0</v>
          </cell>
          <cell r="R84">
            <v>1250</v>
          </cell>
          <cell r="S84">
            <v>0</v>
          </cell>
          <cell r="V84">
            <v>1250</v>
          </cell>
          <cell r="W84">
            <v>0</v>
          </cell>
          <cell r="Z84">
            <v>1250</v>
          </cell>
          <cell r="AD84">
            <v>1250</v>
          </cell>
          <cell r="AE84">
            <v>0</v>
          </cell>
          <cell r="AH84">
            <v>1250</v>
          </cell>
          <cell r="AI84">
            <v>0</v>
          </cell>
          <cell r="AL84">
            <v>1250</v>
          </cell>
          <cell r="AM84">
            <v>0</v>
          </cell>
          <cell r="AP84">
            <v>1250</v>
          </cell>
          <cell r="AT84">
            <v>1250</v>
          </cell>
          <cell r="AU84">
            <v>0</v>
          </cell>
          <cell r="AX84">
            <v>1250</v>
          </cell>
          <cell r="AY84">
            <v>0</v>
          </cell>
          <cell r="BB84">
            <v>1250</v>
          </cell>
          <cell r="BC84">
            <v>0</v>
          </cell>
          <cell r="BF84">
            <v>1250</v>
          </cell>
          <cell r="BG84">
            <v>0</v>
          </cell>
          <cell r="BJ84">
            <v>15000</v>
          </cell>
          <cell r="BK84">
            <v>0</v>
          </cell>
          <cell r="BN84">
            <v>15000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E84C-2C46-4D38-8C16-A846B4C02837}">
  <dimension ref="A1:I37"/>
  <sheetViews>
    <sheetView tabSelected="1" workbookViewId="0">
      <selection activeCell="K9" sqref="K9"/>
    </sheetView>
  </sheetViews>
  <sheetFormatPr defaultRowHeight="15" x14ac:dyDescent="0.25"/>
  <cols>
    <col min="1" max="1" width="31.85546875" bestFit="1" customWidth="1"/>
    <col min="2" max="2" width="13.5703125" bestFit="1" customWidth="1"/>
    <col min="3" max="3" width="12.42578125" bestFit="1" customWidth="1"/>
    <col min="4" max="4" width="13.5703125" bestFit="1" customWidth="1"/>
    <col min="5" max="5" width="7.5703125" bestFit="1" customWidth="1"/>
    <col min="6" max="7" width="12.42578125" bestFit="1" customWidth="1"/>
  </cols>
  <sheetData>
    <row r="1" spans="1:9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ht="2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9" x14ac:dyDescent="0.25">
      <c r="A5" s="4" t="s">
        <v>8</v>
      </c>
      <c r="B5" s="5">
        <f>SUM([1]Base_OPEX!N4:N496)</f>
        <v>1287339.3999999999</v>
      </c>
      <c r="C5" s="5">
        <f>SUM([1]Base_OPEX!O4:O496)</f>
        <v>846882.95</v>
      </c>
      <c r="D5" s="5">
        <f t="shared" ref="D5:D16" si="0">C5-B5</f>
        <v>-440456.44999999995</v>
      </c>
      <c r="E5" s="6">
        <f t="shared" ref="E5:E17" si="1">IFERROR((C5-B5)/B5,0)</f>
        <v>-0.34214477549587929</v>
      </c>
      <c r="F5" s="7" t="str">
        <f t="shared" ref="F5:F16" si="2">IF(D5&gt;0,"▲ Acima",IF(D5&lt;0,"▼ Abaixo","= Zero"))</f>
        <v>▼ Abaixo</v>
      </c>
    </row>
    <row r="6" spans="1:9" x14ac:dyDescent="0.25">
      <c r="A6" s="8" t="s">
        <v>9</v>
      </c>
      <c r="B6" s="9">
        <f>SUM([1]Base_OPEX!R4:R496)</f>
        <v>1556543.2199999997</v>
      </c>
      <c r="C6" s="9">
        <f>SUM([1]Base_OPEX!S4:S496)</f>
        <v>1258750.69</v>
      </c>
      <c r="D6" s="9">
        <f t="shared" si="0"/>
        <v>-297792.5299999998</v>
      </c>
      <c r="E6" s="10">
        <f t="shared" si="1"/>
        <v>-0.19131658290863254</v>
      </c>
      <c r="F6" s="11" t="str">
        <f t="shared" si="2"/>
        <v>▼ Abaixo</v>
      </c>
    </row>
    <row r="7" spans="1:9" x14ac:dyDescent="0.25">
      <c r="A7" s="4" t="s">
        <v>10</v>
      </c>
      <c r="B7" s="5">
        <f>SUM([1]Base_OPEX!V4:V496)</f>
        <v>1492790.75</v>
      </c>
      <c r="C7" s="12">
        <f>SUM([1]Base_OPEX!W4:W496)</f>
        <v>958178.71999999986</v>
      </c>
      <c r="D7" s="5">
        <f t="shared" si="0"/>
        <v>-534612.03000000014</v>
      </c>
      <c r="E7" s="6">
        <f t="shared" si="1"/>
        <v>-0.35812924885822084</v>
      </c>
      <c r="F7" s="7" t="str">
        <f t="shared" si="2"/>
        <v>▼ Abaixo</v>
      </c>
    </row>
    <row r="8" spans="1:9" x14ac:dyDescent="0.25">
      <c r="A8" s="8" t="s">
        <v>11</v>
      </c>
      <c r="B8" s="9">
        <f>SUM([1]Base_OPEX!Z4:Z496)</f>
        <v>482619.78</v>
      </c>
      <c r="C8" s="9">
        <f>SUM([1]Base_OPEX!AA4:AA496)</f>
        <v>22128.28</v>
      </c>
      <c r="D8" s="9">
        <f t="shared" si="0"/>
        <v>-460491.5</v>
      </c>
      <c r="E8" s="10">
        <f t="shared" si="1"/>
        <v>-0.95414966207974317</v>
      </c>
      <c r="F8" s="11" t="str">
        <f t="shared" si="2"/>
        <v>▼ Abaixo</v>
      </c>
    </row>
    <row r="9" spans="1:9" x14ac:dyDescent="0.25">
      <c r="A9" s="4" t="s">
        <v>12</v>
      </c>
      <c r="B9" s="5">
        <f>SUM([1]Base_OPEX!AD4:AD496)</f>
        <v>887547.39999999991</v>
      </c>
      <c r="C9" s="5">
        <f>SUM([1]Base_OPEX!AE4:AE496)</f>
        <v>0</v>
      </c>
      <c r="D9" s="5">
        <f t="shared" si="0"/>
        <v>-887547.39999999991</v>
      </c>
      <c r="E9" s="6">
        <f t="shared" si="1"/>
        <v>-1</v>
      </c>
      <c r="F9" s="7" t="str">
        <f t="shared" si="2"/>
        <v>▼ Abaixo</v>
      </c>
    </row>
    <row r="10" spans="1:9" x14ac:dyDescent="0.25">
      <c r="A10" s="8" t="s">
        <v>13</v>
      </c>
      <c r="B10" s="9">
        <f>SUM([1]Base_OPEX!AH4:AH496)</f>
        <v>780427.98</v>
      </c>
      <c r="C10" s="9">
        <f>SUM([1]Base_OPEX!AI4:AI496)</f>
        <v>0</v>
      </c>
      <c r="D10" s="9">
        <f t="shared" si="0"/>
        <v>-780427.98</v>
      </c>
      <c r="E10" s="10">
        <f t="shared" si="1"/>
        <v>-1</v>
      </c>
      <c r="F10" s="11" t="str">
        <f t="shared" si="2"/>
        <v>▼ Abaixo</v>
      </c>
    </row>
    <row r="11" spans="1:9" x14ac:dyDescent="0.25">
      <c r="A11" s="4" t="s">
        <v>14</v>
      </c>
      <c r="B11" s="5">
        <f>SUM([1]Base_OPEX!AL4:AL496)</f>
        <v>998701.83999999985</v>
      </c>
      <c r="C11" s="5">
        <f>SUM([1]Base_OPEX!AM4:AM496)</f>
        <v>0</v>
      </c>
      <c r="D11" s="5">
        <f t="shared" si="0"/>
        <v>-998701.83999999985</v>
      </c>
      <c r="E11" s="6">
        <f t="shared" si="1"/>
        <v>-1</v>
      </c>
      <c r="F11" s="7" t="str">
        <f t="shared" si="2"/>
        <v>▼ Abaixo</v>
      </c>
    </row>
    <row r="12" spans="1:9" x14ac:dyDescent="0.25">
      <c r="A12" s="8" t="s">
        <v>15</v>
      </c>
      <c r="B12" s="9">
        <f>SUM([1]Base_OPEX!AP4:AP496)</f>
        <v>965327.83999999985</v>
      </c>
      <c r="C12" s="9">
        <f>SUM([1]Base_OPEX!AQ4:AQ496)</f>
        <v>0</v>
      </c>
      <c r="D12" s="9">
        <f t="shared" si="0"/>
        <v>-965327.83999999985</v>
      </c>
      <c r="E12" s="10">
        <f t="shared" si="1"/>
        <v>-1</v>
      </c>
      <c r="F12" s="11" t="str">
        <f t="shared" si="2"/>
        <v>▼ Abaixo</v>
      </c>
    </row>
    <row r="13" spans="1:9" x14ac:dyDescent="0.25">
      <c r="A13" s="4" t="s">
        <v>16</v>
      </c>
      <c r="B13" s="5">
        <f>SUM([1]Base_OPEX!AT4:AT496)</f>
        <v>910901.83999999985</v>
      </c>
      <c r="C13" s="5">
        <f>SUM([1]Base_OPEX!AU4:AU496)</f>
        <v>0</v>
      </c>
      <c r="D13" s="5">
        <f t="shared" si="0"/>
        <v>-910901.83999999985</v>
      </c>
      <c r="E13" s="6">
        <f t="shared" si="1"/>
        <v>-1</v>
      </c>
      <c r="F13" s="7" t="str">
        <f t="shared" si="2"/>
        <v>▼ Abaixo</v>
      </c>
    </row>
    <row r="14" spans="1:9" x14ac:dyDescent="0.25">
      <c r="A14" s="8" t="s">
        <v>17</v>
      </c>
      <c r="B14" s="9">
        <f>SUM([1]Base_OPEX!AX4:AX496)</f>
        <v>915901.83999999985</v>
      </c>
      <c r="C14" s="9">
        <f>SUM([1]Base_OPEX!AY4:AY496)</f>
        <v>0</v>
      </c>
      <c r="D14" s="9">
        <f t="shared" si="0"/>
        <v>-915901.83999999985</v>
      </c>
      <c r="E14" s="10">
        <f t="shared" si="1"/>
        <v>-1</v>
      </c>
      <c r="F14" s="11" t="str">
        <f t="shared" si="2"/>
        <v>▼ Abaixo</v>
      </c>
    </row>
    <row r="15" spans="1:9" x14ac:dyDescent="0.25">
      <c r="A15" s="4" t="s">
        <v>18</v>
      </c>
      <c r="B15" s="5">
        <f>SUM([1]Base_OPEX!BB4:BB496)</f>
        <v>1017058.8399999999</v>
      </c>
      <c r="C15" s="5">
        <f>SUM([1]Base_OPEX!BC4:BC496)</f>
        <v>0</v>
      </c>
      <c r="D15" s="5">
        <f t="shared" si="0"/>
        <v>-1017058.8399999999</v>
      </c>
      <c r="E15" s="6">
        <f t="shared" si="1"/>
        <v>-1</v>
      </c>
      <c r="F15" s="7" t="str">
        <f t="shared" si="2"/>
        <v>▼ Abaixo</v>
      </c>
    </row>
    <row r="16" spans="1:9" x14ac:dyDescent="0.25">
      <c r="A16" s="8" t="s">
        <v>19</v>
      </c>
      <c r="B16" s="9">
        <f>SUM([1]Base_OPEX!BF4:BF496)</f>
        <v>929043.83999999985</v>
      </c>
      <c r="C16" s="9">
        <f>SUM([1]Base_OPEX!BG4:BG496)</f>
        <v>0</v>
      </c>
      <c r="D16" s="9">
        <f t="shared" si="0"/>
        <v>-929043.83999999985</v>
      </c>
      <c r="E16" s="10">
        <f t="shared" si="1"/>
        <v>-1</v>
      </c>
      <c r="F16" s="11" t="str">
        <f t="shared" si="2"/>
        <v>▼ Abaixo</v>
      </c>
    </row>
    <row r="17" spans="1:9" x14ac:dyDescent="0.25">
      <c r="A17" s="13" t="s">
        <v>20</v>
      </c>
      <c r="B17" s="14">
        <f>SUM(B5:B16)</f>
        <v>12224204.569999998</v>
      </c>
      <c r="C17" s="14">
        <f>SUM(C5:C16)</f>
        <v>3085940.6399999992</v>
      </c>
      <c r="D17" s="14">
        <f>SUM(D5:D16)</f>
        <v>-9138263.9299999997</v>
      </c>
      <c r="E17" s="15">
        <f t="shared" si="1"/>
        <v>-0.74755489223623173</v>
      </c>
      <c r="F17" s="3" t="str">
        <f>IF(D17&gt;0,"▲ Acima","▼ Abaixo")</f>
        <v>▼ Abaixo</v>
      </c>
    </row>
    <row r="19" spans="1:9" x14ac:dyDescent="0.25">
      <c r="A19" s="2" t="s">
        <v>21</v>
      </c>
      <c r="B19" s="2"/>
      <c r="C19" s="2"/>
      <c r="D19" s="2"/>
      <c r="E19" s="2"/>
      <c r="F19" s="2"/>
      <c r="G19" s="2"/>
      <c r="H19" s="2"/>
      <c r="I19" s="2"/>
    </row>
    <row r="20" spans="1:9" ht="24" x14ac:dyDescent="0.25">
      <c r="A20" s="3" t="s">
        <v>22</v>
      </c>
      <c r="B20" s="3" t="s">
        <v>23</v>
      </c>
      <c r="C20" s="3" t="s">
        <v>24</v>
      </c>
      <c r="D20" s="3" t="s">
        <v>25</v>
      </c>
      <c r="E20" s="3" t="s">
        <v>6</v>
      </c>
      <c r="F20" s="3" t="s">
        <v>26</v>
      </c>
      <c r="G20" s="3" t="s">
        <v>27</v>
      </c>
    </row>
    <row r="21" spans="1:9" x14ac:dyDescent="0.25">
      <c r="A21" s="4" t="s">
        <v>28</v>
      </c>
      <c r="B21" s="5">
        <f>SUMIF([1]Base_OPEX!$B$4:$B$496,"Tecnologia da Informação",[1]Base_OPEX!$BJ$4:$BJ$496)</f>
        <v>12224204.569999998</v>
      </c>
      <c r="C21" s="5">
        <f>SUMIF([1]Base_OPEX!$B$4:$B$496,"Infraestrutura",[1]Base_OPEX!$BK$4:$BK$496)</f>
        <v>0</v>
      </c>
      <c r="D21" s="5">
        <f t="shared" ref="D21:D28" si="3">C21-B21</f>
        <v>-12224204.569999998</v>
      </c>
      <c r="E21" s="6">
        <f t="shared" ref="E21:E28" si="4">IFERROR((C21-B21)/B21,0)</f>
        <v>-1</v>
      </c>
      <c r="F21" s="12">
        <f>SUMIF([1]Base_OPEX!$B$4:$B$496,"Infraestrutura",[1]Base_OPEX!$BN$4:$BN$496)</f>
        <v>0</v>
      </c>
      <c r="G21" s="12">
        <f t="shared" ref="G21:G28" si="5">C21+F21</f>
        <v>0</v>
      </c>
    </row>
    <row r="22" spans="1:9" x14ac:dyDescent="0.25">
      <c r="A22" s="8" t="s">
        <v>29</v>
      </c>
      <c r="B22" s="9">
        <f>SUMIF([1]Base_OPEX!$B$4:$B$496,"Suporte",[1]Base_OPEX!$BJ$4:$BJ$496)</f>
        <v>0</v>
      </c>
      <c r="C22" s="9">
        <f>SUMIF([1]Base_OPEX!$B$4:$B$496,"Suporte",[1]Base_OPEX!$BK$4:$BK$496)</f>
        <v>0</v>
      </c>
      <c r="D22" s="9">
        <f t="shared" si="3"/>
        <v>0</v>
      </c>
      <c r="E22" s="10">
        <f t="shared" si="4"/>
        <v>0</v>
      </c>
      <c r="F22" s="16">
        <f>SUMIF([1]Base_OPEX!$B$4:$B$496,"Suporte",[1]Base_OPEX!$BN$4:$BN$496)</f>
        <v>0</v>
      </c>
      <c r="G22" s="16">
        <f t="shared" si="5"/>
        <v>0</v>
      </c>
    </row>
    <row r="23" spans="1:9" x14ac:dyDescent="0.25">
      <c r="A23" s="4" t="s">
        <v>30</v>
      </c>
      <c r="B23" s="5">
        <f>SUMIF([1]Base_OPEX!$B$4:$B$496,"Segurança da Informação",[1]Base_OPEX!$BJ$4:$BJ$496)</f>
        <v>0</v>
      </c>
      <c r="C23" s="5">
        <f>SUMIF([1]Base_OPEX!$B$4:$B$496,"Segurança da Informação",[1]Base_OPEX!$BK$4:$BK$496)</f>
        <v>0</v>
      </c>
      <c r="D23" s="5">
        <f t="shared" si="3"/>
        <v>0</v>
      </c>
      <c r="E23" s="6">
        <f t="shared" si="4"/>
        <v>0</v>
      </c>
      <c r="F23" s="12">
        <f>SUMIF([1]Base_OPEX!$B$4:$B$496,"Segurança da Informação",[1]Base_OPEX!$BN$4:$BN$496)</f>
        <v>0</v>
      </c>
      <c r="G23" s="12">
        <f t="shared" si="5"/>
        <v>0</v>
      </c>
    </row>
    <row r="24" spans="1:9" x14ac:dyDescent="0.25">
      <c r="A24" s="8" t="s">
        <v>31</v>
      </c>
      <c r="B24" s="9">
        <f>SUMIF([1]Base_OPEX!$B$4:$B$496,"Sistemas",[1]Base_OPEX!$BJ$4:$BJ$496)</f>
        <v>0</v>
      </c>
      <c r="C24" s="9">
        <f>SUMIF([1]Base_OPEX!$B$4:$B$496,"Sistemas",[1]Base_OPEX!$BK$4:$BK$496)</f>
        <v>0</v>
      </c>
      <c r="D24" s="9">
        <f t="shared" si="3"/>
        <v>0</v>
      </c>
      <c r="E24" s="10">
        <f t="shared" si="4"/>
        <v>0</v>
      </c>
      <c r="F24" s="16">
        <f>SUMIF([1]Base_OPEX!$B$4:$B$496,"Sistemas",[1]Base_OPEX!$BN$4:$BN$496)</f>
        <v>0</v>
      </c>
      <c r="G24" s="16">
        <f t="shared" si="5"/>
        <v>0</v>
      </c>
    </row>
    <row r="25" spans="1:9" x14ac:dyDescent="0.25">
      <c r="A25" s="4" t="s">
        <v>32</v>
      </c>
      <c r="B25" s="5">
        <f>SUMIF([1]Base_OPEX!$B$4:$B$496,"Governança de TI",[1]Base_OPEX!$BJ$4:$BJ$496)</f>
        <v>0</v>
      </c>
      <c r="C25" s="5">
        <f>SUMIF([1]Base_OPEX!$B$4:$B$496,"Governança de TI",[1]Base_OPEX!$BK$4:$BK$496)</f>
        <v>0</v>
      </c>
      <c r="D25" s="5">
        <f t="shared" si="3"/>
        <v>0</v>
      </c>
      <c r="E25" s="6">
        <f t="shared" si="4"/>
        <v>0</v>
      </c>
      <c r="F25" s="12">
        <f>SUMIF([1]Base_OPEX!$B$4:$B$496,"Governança de TI",[1]Base_OPEX!$BN$4:$BN$496)</f>
        <v>0</v>
      </c>
      <c r="G25" s="12">
        <f t="shared" si="5"/>
        <v>0</v>
      </c>
    </row>
    <row r="26" spans="1:9" x14ac:dyDescent="0.25">
      <c r="A26" s="8" t="s">
        <v>33</v>
      </c>
      <c r="B26" s="9">
        <f>SUMIF([1]Base_OPEX!$B$4:$B$496,"Redes",[1]Base_OPEX!$BJ$4:$BJ$496)</f>
        <v>0</v>
      </c>
      <c r="C26" s="9">
        <f>SUMIF([1]Base_OPEX!$B$4:$B$496,"Redes",[1]Base_OPEX!$BK$4:$BK$496)</f>
        <v>0</v>
      </c>
      <c r="D26" s="9">
        <f t="shared" si="3"/>
        <v>0</v>
      </c>
      <c r="E26" s="10">
        <f t="shared" si="4"/>
        <v>0</v>
      </c>
      <c r="F26" s="16">
        <f>SUMIF([1]Base_OPEX!$B$4:$B$496,"Redes",[1]Base_OPEX!$BN$4:$BN$496)</f>
        <v>0</v>
      </c>
      <c r="G26" s="16">
        <f t="shared" si="5"/>
        <v>0</v>
      </c>
    </row>
    <row r="27" spans="1:9" x14ac:dyDescent="0.25">
      <c r="A27" s="4" t="s">
        <v>34</v>
      </c>
      <c r="B27" s="5">
        <f>SUMIF([1]Base_OPEX!$B$4:$B$496,"Cloud",[1]Base_OPEX!$BJ$4:$BJ$496)</f>
        <v>0</v>
      </c>
      <c r="C27" s="5">
        <f>SUMIF([1]Base_OPEX!$B$4:$B$496,"Cloud",[1]Base_OPEX!$BK$4:$BK$496)</f>
        <v>0</v>
      </c>
      <c r="D27" s="5">
        <f t="shared" si="3"/>
        <v>0</v>
      </c>
      <c r="E27" s="6">
        <f t="shared" si="4"/>
        <v>0</v>
      </c>
      <c r="F27" s="12">
        <f>SUMIF([1]Base_OPEX!$B$4:$B$496,"Cloud",[1]Base_OPEX!$BN$4:$BN$496)</f>
        <v>0</v>
      </c>
      <c r="G27" s="12">
        <f t="shared" si="5"/>
        <v>0</v>
      </c>
    </row>
    <row r="28" spans="1:9" x14ac:dyDescent="0.25">
      <c r="A28" s="8" t="s">
        <v>35</v>
      </c>
      <c r="B28" s="9">
        <f>SUMIF([1]Base_OPEX!$B$4:$B$496,"Projetos",[1]Base_OPEX!$BJ$4:$BJ$496)</f>
        <v>0</v>
      </c>
      <c r="C28" s="9">
        <f>SUMIF([1]Base_OPEX!$B$4:$B$496,"Projetos",[1]Base_OPEX!$BK$4:$BK$496)</f>
        <v>0</v>
      </c>
      <c r="D28" s="9">
        <f t="shared" si="3"/>
        <v>0</v>
      </c>
      <c r="E28" s="10">
        <f t="shared" si="4"/>
        <v>0</v>
      </c>
      <c r="F28" s="16">
        <f>SUMIF([1]Base_OPEX!$B$4:$B$496,"Projetos",[1]Base_OPEX!$BN$4:$BN$496)</f>
        <v>0</v>
      </c>
      <c r="G28" s="16">
        <f t="shared" si="5"/>
        <v>0</v>
      </c>
    </row>
    <row r="30" spans="1:9" x14ac:dyDescent="0.25">
      <c r="A30" s="2" t="s">
        <v>36</v>
      </c>
      <c r="B30" s="2"/>
      <c r="C30" s="2"/>
      <c r="D30" s="2"/>
      <c r="E30" s="2"/>
      <c r="F30" s="2"/>
      <c r="G30" s="2"/>
      <c r="H30" s="2"/>
      <c r="I30" s="2"/>
    </row>
    <row r="31" spans="1:9" ht="24" x14ac:dyDescent="0.25">
      <c r="A31" s="3" t="s">
        <v>37</v>
      </c>
      <c r="B31" s="3" t="s">
        <v>23</v>
      </c>
      <c r="C31" s="3" t="s">
        <v>24</v>
      </c>
      <c r="D31" s="3" t="s">
        <v>25</v>
      </c>
      <c r="E31" s="3" t="s">
        <v>6</v>
      </c>
      <c r="F31" s="3" t="s">
        <v>26</v>
      </c>
      <c r="G31" s="3" t="s">
        <v>27</v>
      </c>
    </row>
    <row r="32" spans="1:9" x14ac:dyDescent="0.25">
      <c r="A32" s="8" t="s">
        <v>38</v>
      </c>
      <c r="B32" s="9">
        <f>SUMIF([1]Base_OPEX!$E$4:$E$496,"Software e Licenças",[1]Base_OPEX!$BJ$4:$BJ$496)</f>
        <v>8371543.5699999994</v>
      </c>
      <c r="C32" s="9">
        <f>SUMIF([1]Base_OPEX!$E$4:$E$496,"Software e Licenças",[1]Base_OPEX!$BK$4:$BK$496)</f>
        <v>2651515.23</v>
      </c>
      <c r="D32" s="9">
        <f t="shared" ref="D32:D37" si="6">C32-B32</f>
        <v>-5720028.3399999999</v>
      </c>
      <c r="E32" s="10">
        <f t="shared" ref="E32:E37" si="7">IFERROR((C32-B32)/B32,0)</f>
        <v>-0.68327044972902173</v>
      </c>
      <c r="F32" s="9">
        <f>SUMIF([1]Base_OPEX!$E$4:$E$496,"Software e Licenças",[1]Base_OPEX!$BN$4:$BN$496)</f>
        <v>5720028.3399999989</v>
      </c>
      <c r="G32" s="9">
        <f t="shared" ref="G32:G37" si="8">C32+F32</f>
        <v>8371543.5699999984</v>
      </c>
    </row>
    <row r="33" spans="1:7" x14ac:dyDescent="0.25">
      <c r="A33" s="4" t="s">
        <v>39</v>
      </c>
      <c r="B33" s="5">
        <f>SUMIF([1]Base_OPEX!$E$4:$E$496,"Cloud e Serviços Recorrentes",[1]Base_OPEX!$BJ$4:$BJ$496)</f>
        <v>0</v>
      </c>
      <c r="C33" s="5">
        <f>SUMIF([1]Base_OPEX!$E$4:$E$496,"Cloud e Serviços Recorrentes",[1]Base_OPEX!$BK$4:$BK$496)</f>
        <v>0</v>
      </c>
      <c r="D33" s="5">
        <f t="shared" si="6"/>
        <v>0</v>
      </c>
      <c r="E33" s="6">
        <f t="shared" si="7"/>
        <v>0</v>
      </c>
      <c r="F33" s="5">
        <f>SUMIF([1]Base_OPEX!$E$4:$E$496,"Cloud e Serviços Recorrentes",[1]Base_OPEX!$BN$4:$BN$496)</f>
        <v>0</v>
      </c>
      <c r="G33" s="5">
        <f t="shared" si="8"/>
        <v>0</v>
      </c>
    </row>
    <row r="34" spans="1:7" x14ac:dyDescent="0.25">
      <c r="A34" s="8" t="s">
        <v>40</v>
      </c>
      <c r="B34" s="9">
        <f>SUMIF([1]Base_OPEX!$E$4:$E$496,"Redes e Conectividade",[1]Base_OPEX!$BJ$4:$BJ$496)</f>
        <v>420003.06000000006</v>
      </c>
      <c r="C34" s="9">
        <f>SUMIF([1]Base_OPEX!$E$4:$E$496,"Redes e Conectividade",[1]Base_OPEX!$BK$4:$BK$496)</f>
        <v>66032.679999999993</v>
      </c>
      <c r="D34" s="9">
        <f t="shared" si="6"/>
        <v>-353970.38000000006</v>
      </c>
      <c r="E34" s="10">
        <f t="shared" si="7"/>
        <v>-0.84278047878984508</v>
      </c>
      <c r="F34" s="9">
        <f>SUMIF([1]Base_OPEX!$E$4:$E$496,"Redes e Conectividade",[1]Base_OPEX!$BN$4:$BN$496)</f>
        <v>353970.38000000006</v>
      </c>
      <c r="G34" s="9">
        <f t="shared" si="8"/>
        <v>420003.06000000006</v>
      </c>
    </row>
    <row r="35" spans="1:7" x14ac:dyDescent="0.25">
      <c r="A35" s="4" t="s">
        <v>41</v>
      </c>
      <c r="B35" s="5">
        <f>SUMIF([1]Base_OPEX!$E$4:$E$496,"Service Desk e Suporte",[1]Base_OPEX!$BJ$4:$BJ$496)</f>
        <v>38400</v>
      </c>
      <c r="C35" s="5">
        <f>SUMIF([1]Base_OPEX!$E$4:$E$496,"Service Desk e Suporte",[1]Base_OPEX!$BK$4:$BK$496)</f>
        <v>0</v>
      </c>
      <c r="D35" s="5">
        <f t="shared" si="6"/>
        <v>-38400</v>
      </c>
      <c r="E35" s="6">
        <f t="shared" si="7"/>
        <v>-1</v>
      </c>
      <c r="F35" s="5">
        <f>SUMIF([1]Base_OPEX!$E$4:$E$496,"Service Desk e Suporte",[1]Base_OPEX!$BN$4:$BN$496)</f>
        <v>38400</v>
      </c>
      <c r="G35" s="5">
        <f t="shared" si="8"/>
        <v>38400</v>
      </c>
    </row>
    <row r="36" spans="1:7" x14ac:dyDescent="0.25">
      <c r="A36" s="8" t="s">
        <v>42</v>
      </c>
      <c r="B36" s="9">
        <f>SUMIF([1]Base_OPEX!$E$4:$E$496,"Consultoria e Serviços Especializados",[1]Base_OPEX!$BJ$4:$BJ$496)</f>
        <v>3359257.94</v>
      </c>
      <c r="C36" s="9">
        <f>SUMIF([1]Base_OPEX!$E$4:$E$496,"Consultoria e Serviços Especializados",[1]Base_OPEX!$BK$4:$BK$496)</f>
        <v>368392.73</v>
      </c>
      <c r="D36" s="9">
        <f t="shared" si="6"/>
        <v>-2990865.21</v>
      </c>
      <c r="E36" s="10">
        <f t="shared" si="7"/>
        <v>-0.89033508692101204</v>
      </c>
      <c r="F36" s="9">
        <f>SUMIF([1]Base_OPEX!$E$4:$E$496,"Consultoria e Serviços Especializados",[1]Base_OPEX!$BN$4:$BN$496)</f>
        <v>2990865.21</v>
      </c>
      <c r="G36" s="9">
        <f t="shared" si="8"/>
        <v>3359257.94</v>
      </c>
    </row>
    <row r="37" spans="1:7" x14ac:dyDescent="0.25">
      <c r="A37" s="4" t="s">
        <v>43</v>
      </c>
      <c r="B37" s="5">
        <f>SUMIF([1]Base_OPEX!$E$4:$E$496,"Treinamento e Capacitação",[1]Base_OPEX!$BJ$4:$BJ$496)</f>
        <v>35000</v>
      </c>
      <c r="C37" s="5">
        <f>SUMIF([1]Base_OPEX!$E$4:$E$496,"Treinamento e Capacitação",[1]Base_OPEX!$BK$4:$BK$496)</f>
        <v>0</v>
      </c>
      <c r="D37" s="5">
        <f t="shared" si="6"/>
        <v>-35000</v>
      </c>
      <c r="E37" s="6">
        <f t="shared" si="7"/>
        <v>-1</v>
      </c>
      <c r="F37" s="5">
        <f>SUMIF([1]Base_OPEX!$E$4:$E$496,"Treinamento e Capacitação",[1]Base_OPEX!$BN$4:$BN$496)</f>
        <v>35000</v>
      </c>
      <c r="G37" s="5">
        <f t="shared" si="8"/>
        <v>35000</v>
      </c>
    </row>
  </sheetData>
  <mergeCells count="4">
    <mergeCell ref="A1:I1"/>
    <mergeCell ref="A3:I3"/>
    <mergeCell ref="A19:I19"/>
    <mergeCell ref="A30:I3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Cassiano Floriano da Silva</dc:creator>
  <cp:lastModifiedBy>Vagner Cassiano Floriano da Silva</cp:lastModifiedBy>
  <dcterms:created xsi:type="dcterms:W3CDTF">2026-04-14T20:04:09Z</dcterms:created>
  <dcterms:modified xsi:type="dcterms:W3CDTF">2026-04-14T20:04:41Z</dcterms:modified>
</cp:coreProperties>
</file>