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gsuplementos-my.sharepoint.com/personal/vagner_silva_grwt_com_br/Documents/"/>
    </mc:Choice>
  </mc:AlternateContent>
  <xr:revisionPtr revIDLastSave="0" documentId="8_{ABEA05B1-031C-432C-B470-B909D722C249}" xr6:coauthVersionLast="47" xr6:coauthVersionMax="47" xr10:uidLastSave="{00000000-0000-0000-0000-000000000000}"/>
  <bookViews>
    <workbookView xWindow="20370" yWindow="-120" windowWidth="38640" windowHeight="15720" activeTab="1" xr2:uid="{00000000-000D-0000-FFFF-FFFF00000000}"/>
  </bookViews>
  <sheets>
    <sheet name="Base_CAPEX" sheetId="7" r:id="rId1"/>
    <sheet name="Base_OPEX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48" i="8" l="1"/>
  <c r="BK48" i="8"/>
  <c r="AW16" i="8"/>
  <c r="BH17" i="8"/>
  <c r="BH18" i="8"/>
  <c r="X12" i="8"/>
  <c r="W38" i="8"/>
  <c r="X38" i="8"/>
  <c r="Y38" i="8"/>
  <c r="S10" i="8"/>
  <c r="S38" i="8"/>
  <c r="O38" i="8"/>
  <c r="BK19" i="8"/>
  <c r="P19" i="8"/>
  <c r="Q19" i="8"/>
  <c r="U19" i="8"/>
  <c r="X19" i="8"/>
  <c r="Y19" i="8"/>
  <c r="AB19" i="8"/>
  <c r="AC19" i="8"/>
  <c r="AF19" i="8"/>
  <c r="AG19" i="8"/>
  <c r="AJ19" i="8"/>
  <c r="AK19" i="8"/>
  <c r="AN19" i="8"/>
  <c r="AO19" i="8"/>
  <c r="AR19" i="8"/>
  <c r="AS19" i="8"/>
  <c r="AV19" i="8"/>
  <c r="AW19" i="8"/>
  <c r="AZ19" i="8"/>
  <c r="BA19" i="8"/>
  <c r="BD19" i="8"/>
  <c r="BE19" i="8"/>
  <c r="BH19" i="8"/>
  <c r="BI19" i="8"/>
  <c r="BJ19" i="8"/>
  <c r="BK4" i="8"/>
  <c r="BK5" i="8"/>
  <c r="BK6" i="8"/>
  <c r="BK7" i="8"/>
  <c r="BK8" i="8"/>
  <c r="BK9" i="8"/>
  <c r="BK38" i="8"/>
  <c r="BK10" i="8"/>
  <c r="BK11" i="8"/>
  <c r="BK12" i="8"/>
  <c r="BK13" i="8"/>
  <c r="BK14" i="8"/>
  <c r="BK15" i="8"/>
  <c r="BK41" i="8"/>
  <c r="BK42" i="8"/>
  <c r="BK43" i="8"/>
  <c r="BK16" i="8"/>
  <c r="BK44" i="8"/>
  <c r="BK45" i="8"/>
  <c r="BK17" i="8"/>
  <c r="BK20" i="8"/>
  <c r="BK21" i="8"/>
  <c r="BK23" i="8"/>
  <c r="BK24" i="8"/>
  <c r="BK25" i="8"/>
  <c r="BK26" i="8"/>
  <c r="BK27" i="8"/>
  <c r="BK28" i="8"/>
  <c r="BK29" i="8"/>
  <c r="BK79" i="8"/>
  <c r="BK30" i="8"/>
  <c r="BK31" i="8"/>
  <c r="BK22" i="8"/>
  <c r="BK80" i="8"/>
  <c r="BK32" i="8"/>
  <c r="BK51" i="8"/>
  <c r="BK46" i="8"/>
  <c r="BK47" i="8"/>
  <c r="BK33" i="8"/>
  <c r="BK34" i="8"/>
  <c r="BK50" i="8"/>
  <c r="BK35" i="8"/>
  <c r="BK36" i="8"/>
  <c r="BK37" i="8"/>
  <c r="BK39" i="8"/>
  <c r="BK40" i="8"/>
  <c r="BK49" i="8"/>
  <c r="BK52" i="8"/>
  <c r="BK53" i="8"/>
  <c r="BK54" i="8"/>
  <c r="BK55" i="8"/>
  <c r="BK56" i="8"/>
  <c r="BK57" i="8"/>
  <c r="BK58" i="8"/>
  <c r="BK59" i="8"/>
  <c r="BK60" i="8"/>
  <c r="BK61" i="8"/>
  <c r="BK62" i="8"/>
  <c r="BK63" i="8"/>
  <c r="BK64" i="8"/>
  <c r="BK65" i="8"/>
  <c r="BK66" i="8"/>
  <c r="BK67" i="8"/>
  <c r="BK68" i="8"/>
  <c r="BK69" i="8"/>
  <c r="BK70" i="8"/>
  <c r="BK71" i="8"/>
  <c r="BK72" i="8"/>
  <c r="BK73" i="8"/>
  <c r="BK74" i="8"/>
  <c r="BK75" i="8"/>
  <c r="BK76" i="8"/>
  <c r="BK77" i="8"/>
  <c r="BK78" i="8"/>
  <c r="BK81" i="8"/>
  <c r="BK82" i="8"/>
  <c r="BK83" i="8"/>
  <c r="BK84" i="8"/>
  <c r="BK18" i="8"/>
  <c r="T18" i="8"/>
  <c r="T84" i="8"/>
  <c r="T83" i="8"/>
  <c r="T82" i="8"/>
  <c r="T81" i="8"/>
  <c r="T78" i="8"/>
  <c r="T77" i="8"/>
  <c r="T76" i="8"/>
  <c r="T75" i="8"/>
  <c r="T74" i="8"/>
  <c r="T73" i="8"/>
  <c r="T72" i="8"/>
  <c r="T71" i="8"/>
  <c r="T70" i="8"/>
  <c r="T69" i="8"/>
  <c r="T68" i="8"/>
  <c r="T67" i="8"/>
  <c r="T66" i="8"/>
  <c r="T65" i="8"/>
  <c r="T64" i="8"/>
  <c r="T63" i="8"/>
  <c r="T62" i="8"/>
  <c r="T61" i="8"/>
  <c r="T60" i="8"/>
  <c r="BJ4" i="8"/>
  <c r="BJ5" i="8"/>
  <c r="BJ6" i="8"/>
  <c r="BJ7" i="8"/>
  <c r="BJ8" i="8"/>
  <c r="BJ9" i="8"/>
  <c r="BJ38" i="8"/>
  <c r="BJ10" i="8"/>
  <c r="BJ11" i="8"/>
  <c r="BJ13" i="8"/>
  <c r="BJ14" i="8"/>
  <c r="BJ41" i="8"/>
  <c r="BJ42" i="8"/>
  <c r="BJ43" i="8"/>
  <c r="BJ16" i="8"/>
  <c r="BJ44" i="8"/>
  <c r="BJ45" i="8"/>
  <c r="BJ17" i="8"/>
  <c r="BJ20" i="8"/>
  <c r="BJ21" i="8"/>
  <c r="BJ23" i="8"/>
  <c r="BJ24" i="8"/>
  <c r="BJ25" i="8"/>
  <c r="BJ26" i="8"/>
  <c r="BJ27" i="8"/>
  <c r="BJ28" i="8"/>
  <c r="BJ29" i="8"/>
  <c r="BJ79" i="8"/>
  <c r="BJ30" i="8"/>
  <c r="BJ31" i="8"/>
  <c r="BJ22" i="8"/>
  <c r="BJ80" i="8"/>
  <c r="BJ32" i="8"/>
  <c r="BJ51" i="8"/>
  <c r="BJ46" i="8"/>
  <c r="BJ47" i="8"/>
  <c r="BJ33" i="8"/>
  <c r="BJ34" i="8"/>
  <c r="BJ50" i="8"/>
  <c r="BJ35" i="8"/>
  <c r="BJ36" i="8"/>
  <c r="BJ37" i="8"/>
  <c r="BJ39" i="8"/>
  <c r="BJ40" i="8"/>
  <c r="BJ48" i="8"/>
  <c r="BJ49" i="8"/>
  <c r="BJ52" i="8"/>
  <c r="BJ53" i="8"/>
  <c r="BJ54" i="8"/>
  <c r="BJ55" i="8"/>
  <c r="BJ56" i="8"/>
  <c r="BJ57" i="8"/>
  <c r="BJ58" i="8"/>
  <c r="BJ59" i="8"/>
  <c r="BJ60" i="8"/>
  <c r="BJ61" i="8"/>
  <c r="BJ62" i="8"/>
  <c r="BJ63" i="8"/>
  <c r="BJ64" i="8"/>
  <c r="BJ65" i="8"/>
  <c r="BJ66" i="8"/>
  <c r="BJ67" i="8"/>
  <c r="BJ68" i="8"/>
  <c r="BJ69" i="8"/>
  <c r="BJ70" i="8"/>
  <c r="BJ71" i="8"/>
  <c r="BJ72" i="8"/>
  <c r="BJ73" i="8"/>
  <c r="BJ74" i="8"/>
  <c r="BJ75" i="8"/>
  <c r="BJ76" i="8"/>
  <c r="BJ77" i="8"/>
  <c r="BJ78" i="8"/>
  <c r="BJ81" i="8"/>
  <c r="BJ82" i="8"/>
  <c r="BJ83" i="8"/>
  <c r="BJ84" i="8"/>
  <c r="BJ18" i="8"/>
  <c r="AZ24" i="8"/>
  <c r="BI4" i="8"/>
  <c r="BI5" i="8"/>
  <c r="BI6" i="8"/>
  <c r="BI7" i="8"/>
  <c r="BI8" i="8"/>
  <c r="BI9" i="8"/>
  <c r="BI38" i="8"/>
  <c r="BI10" i="8"/>
  <c r="BI11" i="8"/>
  <c r="BI13" i="8"/>
  <c r="BI14" i="8"/>
  <c r="BI41" i="8"/>
  <c r="BI42" i="8"/>
  <c r="BI43" i="8"/>
  <c r="BI16" i="8"/>
  <c r="BI44" i="8"/>
  <c r="BI45" i="8"/>
  <c r="BI17" i="8"/>
  <c r="BI20" i="8"/>
  <c r="BI21" i="8"/>
  <c r="BI23" i="8"/>
  <c r="BI24" i="8"/>
  <c r="BI25" i="8"/>
  <c r="BI26" i="8"/>
  <c r="BI27" i="8"/>
  <c r="BI28" i="8"/>
  <c r="BI29" i="8"/>
  <c r="BI79" i="8"/>
  <c r="BI30" i="8"/>
  <c r="BI31" i="8"/>
  <c r="BI22" i="8"/>
  <c r="BI80" i="8"/>
  <c r="BI32" i="8"/>
  <c r="BI51" i="8"/>
  <c r="BI46" i="8"/>
  <c r="BI47" i="8"/>
  <c r="BI33" i="8"/>
  <c r="BI34" i="8"/>
  <c r="BI50" i="8"/>
  <c r="BI35" i="8"/>
  <c r="BI36" i="8"/>
  <c r="BI37" i="8"/>
  <c r="BI39" i="8"/>
  <c r="BI40" i="8"/>
  <c r="BI48" i="8"/>
  <c r="BI49" i="8"/>
  <c r="BI52" i="8"/>
  <c r="BI53" i="8"/>
  <c r="BI54" i="8"/>
  <c r="BI55" i="8"/>
  <c r="BI56" i="8"/>
  <c r="BI57" i="8"/>
  <c r="BI58" i="8"/>
  <c r="BI59" i="8"/>
  <c r="BI60" i="8"/>
  <c r="BI61" i="8"/>
  <c r="BI62" i="8"/>
  <c r="BI63" i="8"/>
  <c r="BI64" i="8"/>
  <c r="BI65" i="8"/>
  <c r="BI66" i="8"/>
  <c r="BI67" i="8"/>
  <c r="BI68" i="8"/>
  <c r="BI69" i="8"/>
  <c r="BI70" i="8"/>
  <c r="BI71" i="8"/>
  <c r="BI72" i="8"/>
  <c r="BI73" i="8"/>
  <c r="BI74" i="8"/>
  <c r="BI75" i="8"/>
  <c r="BI76" i="8"/>
  <c r="BI77" i="8"/>
  <c r="BI78" i="8"/>
  <c r="BI81" i="8"/>
  <c r="BI82" i="8"/>
  <c r="BI83" i="8"/>
  <c r="BI84" i="8"/>
  <c r="BI18" i="8"/>
  <c r="BH14" i="8"/>
  <c r="BH13" i="8"/>
  <c r="BH15" i="8"/>
  <c r="BE15" i="8"/>
  <c r="BD15" i="8"/>
  <c r="BA15" i="8"/>
  <c r="AZ15" i="8"/>
  <c r="AW15" i="8"/>
  <c r="AV15" i="8"/>
  <c r="AS15" i="8"/>
  <c r="AR15" i="8"/>
  <c r="AO15" i="8"/>
  <c r="AN15" i="8"/>
  <c r="AK15" i="8"/>
  <c r="AJ15" i="8"/>
  <c r="AG15" i="8"/>
  <c r="AF15" i="8"/>
  <c r="AC15" i="8"/>
  <c r="P41" i="8"/>
  <c r="Q41" i="8"/>
  <c r="T41" i="8"/>
  <c r="U41" i="8"/>
  <c r="X41" i="8"/>
  <c r="Y41" i="8"/>
  <c r="AB41" i="8"/>
  <c r="AC41" i="8"/>
  <c r="AF41" i="8"/>
  <c r="AG41" i="8"/>
  <c r="AJ41" i="8"/>
  <c r="AK41" i="8"/>
  <c r="AN41" i="8"/>
  <c r="AO41" i="8"/>
  <c r="AR41" i="8"/>
  <c r="AS41" i="8"/>
  <c r="AV41" i="8"/>
  <c r="AW41" i="8"/>
  <c r="AZ41" i="8"/>
  <c r="BA41" i="8"/>
  <c r="BD41" i="8"/>
  <c r="BE41" i="8"/>
  <c r="BH41" i="8"/>
  <c r="AN5" i="8"/>
  <c r="AN6" i="8"/>
  <c r="AN7" i="8"/>
  <c r="AN8" i="8"/>
  <c r="AN9" i="8"/>
  <c r="AN38" i="8"/>
  <c r="AN10" i="8"/>
  <c r="AN11" i="8"/>
  <c r="AN13" i="8"/>
  <c r="AN14" i="8"/>
  <c r="AN42" i="8"/>
  <c r="AN43" i="8"/>
  <c r="AN16" i="8"/>
  <c r="AN44" i="8"/>
  <c r="AN45" i="8"/>
  <c r="AN17" i="8"/>
  <c r="AN20" i="8"/>
  <c r="AN21" i="8"/>
  <c r="AN23" i="8"/>
  <c r="AN24" i="8"/>
  <c r="AN25" i="8"/>
  <c r="AN26" i="8"/>
  <c r="AN27" i="8"/>
  <c r="AN28" i="8"/>
  <c r="AN29" i="8"/>
  <c r="AN79" i="8"/>
  <c r="AN30" i="8"/>
  <c r="AN31" i="8"/>
  <c r="AN22" i="8"/>
  <c r="AN80" i="8"/>
  <c r="AN32" i="8"/>
  <c r="AN51" i="8"/>
  <c r="AN46" i="8"/>
  <c r="AN47" i="8"/>
  <c r="AN33" i="8"/>
  <c r="AN34" i="8"/>
  <c r="AN50" i="8"/>
  <c r="AN35" i="8"/>
  <c r="AN36" i="8"/>
  <c r="AN37" i="8"/>
  <c r="AN39" i="8"/>
  <c r="AN40" i="8"/>
  <c r="AN48" i="8"/>
  <c r="AN49" i="8"/>
  <c r="AN52" i="8"/>
  <c r="AN53" i="8"/>
  <c r="AN54" i="8"/>
  <c r="AN55" i="8"/>
  <c r="AN56" i="8"/>
  <c r="AN57" i="8"/>
  <c r="AN58" i="8"/>
  <c r="AN59" i="8"/>
  <c r="AN60" i="8"/>
  <c r="AN61" i="8"/>
  <c r="AN62" i="8"/>
  <c r="AN63" i="8"/>
  <c r="AN64" i="8"/>
  <c r="AN65" i="8"/>
  <c r="AN66" i="8"/>
  <c r="AN67" i="8"/>
  <c r="AN68" i="8"/>
  <c r="AN69" i="8"/>
  <c r="AN70" i="8"/>
  <c r="AN71" i="8"/>
  <c r="AN72" i="8"/>
  <c r="AN73" i="8"/>
  <c r="AN74" i="8"/>
  <c r="AN75" i="8"/>
  <c r="AN76" i="8"/>
  <c r="AN77" i="8"/>
  <c r="AN78" i="8"/>
  <c r="AN81" i="8"/>
  <c r="AN82" i="8"/>
  <c r="AN83" i="8"/>
  <c r="AN84" i="8"/>
  <c r="AN18" i="8"/>
  <c r="AN4" i="8"/>
  <c r="AJ5" i="8"/>
  <c r="AJ6" i="8"/>
  <c r="AJ7" i="8"/>
  <c r="AJ8" i="8"/>
  <c r="AJ9" i="8"/>
  <c r="AJ38" i="8"/>
  <c r="AJ10" i="8"/>
  <c r="AJ11" i="8"/>
  <c r="AJ13" i="8"/>
  <c r="AJ14" i="8"/>
  <c r="AJ42" i="8"/>
  <c r="AJ43" i="8"/>
  <c r="AJ16" i="8"/>
  <c r="AJ44" i="8"/>
  <c r="AJ45" i="8"/>
  <c r="AJ17" i="8"/>
  <c r="AJ20" i="8"/>
  <c r="AJ21" i="8"/>
  <c r="AJ23" i="8"/>
  <c r="AJ24" i="8"/>
  <c r="AJ25" i="8"/>
  <c r="AJ26" i="8"/>
  <c r="AJ27" i="8"/>
  <c r="AJ28" i="8"/>
  <c r="AJ29" i="8"/>
  <c r="AJ79" i="8"/>
  <c r="AJ30" i="8"/>
  <c r="AJ31" i="8"/>
  <c r="AJ22" i="8"/>
  <c r="AJ80" i="8"/>
  <c r="AJ32" i="8"/>
  <c r="AJ51" i="8"/>
  <c r="AJ46" i="8"/>
  <c r="AJ47" i="8"/>
  <c r="AJ33" i="8"/>
  <c r="AJ34" i="8"/>
  <c r="AJ50" i="8"/>
  <c r="AJ35" i="8"/>
  <c r="AJ36" i="8"/>
  <c r="AJ37" i="8"/>
  <c r="AJ39" i="8"/>
  <c r="AJ40" i="8"/>
  <c r="AJ48" i="8"/>
  <c r="AJ49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81" i="8"/>
  <c r="AJ82" i="8"/>
  <c r="AJ83" i="8"/>
  <c r="AJ84" i="8"/>
  <c r="AJ18" i="8"/>
  <c r="AJ4" i="8"/>
  <c r="X4" i="8"/>
  <c r="X5" i="8"/>
  <c r="X6" i="8"/>
  <c r="X7" i="8"/>
  <c r="X8" i="8"/>
  <c r="X9" i="8"/>
  <c r="X10" i="8"/>
  <c r="X11" i="8"/>
  <c r="X13" i="8"/>
  <c r="X14" i="8"/>
  <c r="X42" i="8"/>
  <c r="X43" i="8"/>
  <c r="X16" i="8"/>
  <c r="X44" i="8"/>
  <c r="X45" i="8"/>
  <c r="X17" i="8"/>
  <c r="X20" i="8"/>
  <c r="X21" i="8"/>
  <c r="X23" i="8"/>
  <c r="X24" i="8"/>
  <c r="X25" i="8"/>
  <c r="X26" i="8"/>
  <c r="X27" i="8"/>
  <c r="X28" i="8"/>
  <c r="X29" i="8"/>
  <c r="X79" i="8"/>
  <c r="X30" i="8"/>
  <c r="X31" i="8"/>
  <c r="X22" i="8"/>
  <c r="X80" i="8"/>
  <c r="X32" i="8"/>
  <c r="X51" i="8"/>
  <c r="X46" i="8"/>
  <c r="X47" i="8"/>
  <c r="X33" i="8"/>
  <c r="X34" i="8"/>
  <c r="X50" i="8"/>
  <c r="X35" i="8"/>
  <c r="X36" i="8"/>
  <c r="X37" i="8"/>
  <c r="X39" i="8"/>
  <c r="X40" i="8"/>
  <c r="X48" i="8"/>
  <c r="X49" i="8"/>
  <c r="X52" i="8"/>
  <c r="X53" i="8"/>
  <c r="X54" i="8"/>
  <c r="X55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81" i="8"/>
  <c r="X82" i="8"/>
  <c r="X83" i="8"/>
  <c r="X84" i="8"/>
  <c r="X18" i="8"/>
  <c r="T5" i="8"/>
  <c r="T6" i="8"/>
  <c r="T7" i="8"/>
  <c r="T8" i="8"/>
  <c r="T9" i="8"/>
  <c r="T11" i="8"/>
  <c r="T13" i="8"/>
  <c r="T14" i="8"/>
  <c r="T42" i="8"/>
  <c r="T43" i="8"/>
  <c r="T16" i="8"/>
  <c r="T44" i="8"/>
  <c r="T45" i="8"/>
  <c r="T17" i="8"/>
  <c r="T20" i="8"/>
  <c r="T21" i="8"/>
  <c r="T23" i="8"/>
  <c r="T24" i="8"/>
  <c r="T25" i="8"/>
  <c r="T26" i="8"/>
  <c r="T27" i="8"/>
  <c r="T28" i="8"/>
  <c r="T29" i="8"/>
  <c r="T79" i="8"/>
  <c r="T30" i="8"/>
  <c r="T31" i="8"/>
  <c r="T22" i="8"/>
  <c r="T80" i="8"/>
  <c r="T32" i="8"/>
  <c r="T51" i="8"/>
  <c r="T46" i="8"/>
  <c r="T47" i="8"/>
  <c r="T33" i="8"/>
  <c r="T34" i="8"/>
  <c r="T50" i="8"/>
  <c r="T35" i="8"/>
  <c r="T36" i="8"/>
  <c r="T37" i="8"/>
  <c r="T39" i="8"/>
  <c r="T40" i="8"/>
  <c r="T48" i="8"/>
  <c r="T49" i="8"/>
  <c r="T52" i="8"/>
  <c r="T53" i="8"/>
  <c r="T54" i="8"/>
  <c r="T55" i="8"/>
  <c r="T56" i="8"/>
  <c r="T57" i="8"/>
  <c r="T58" i="8"/>
  <c r="T59" i="8"/>
  <c r="T4" i="8"/>
  <c r="AF4" i="8"/>
  <c r="AF5" i="8"/>
  <c r="AF6" i="8"/>
  <c r="AF7" i="8"/>
  <c r="AF8" i="8"/>
  <c r="AF9" i="8"/>
  <c r="AF38" i="8"/>
  <c r="AF10" i="8"/>
  <c r="AF11" i="8"/>
  <c r="AF13" i="8"/>
  <c r="AF14" i="8"/>
  <c r="AF42" i="8"/>
  <c r="AF43" i="8"/>
  <c r="AF16" i="8"/>
  <c r="AF44" i="8"/>
  <c r="AF45" i="8"/>
  <c r="AF17" i="8"/>
  <c r="AF20" i="8"/>
  <c r="AF21" i="8"/>
  <c r="AF23" i="8"/>
  <c r="AF24" i="8"/>
  <c r="AF25" i="8"/>
  <c r="AF26" i="8"/>
  <c r="AF27" i="8"/>
  <c r="AF28" i="8"/>
  <c r="AF29" i="8"/>
  <c r="AF79" i="8"/>
  <c r="AF30" i="8"/>
  <c r="AF31" i="8"/>
  <c r="AF22" i="8"/>
  <c r="AF80" i="8"/>
  <c r="AF51" i="8"/>
  <c r="AF46" i="8"/>
  <c r="AF47" i="8"/>
  <c r="AF33" i="8"/>
  <c r="AF34" i="8"/>
  <c r="AF50" i="8"/>
  <c r="AF35" i="8"/>
  <c r="AF36" i="8"/>
  <c r="AF37" i="8"/>
  <c r="AF39" i="8"/>
  <c r="AF40" i="8"/>
  <c r="AF48" i="8"/>
  <c r="AF49" i="8"/>
  <c r="AF52" i="8"/>
  <c r="AF53" i="8"/>
  <c r="AF54" i="8"/>
  <c r="AF55" i="8"/>
  <c r="AF56" i="8"/>
  <c r="AF57" i="8"/>
  <c r="AF58" i="8"/>
  <c r="AF59" i="8"/>
  <c r="AF60" i="8"/>
  <c r="AF61" i="8"/>
  <c r="AF62" i="8"/>
  <c r="AF63" i="8"/>
  <c r="AF64" i="8"/>
  <c r="AF65" i="8"/>
  <c r="AF66" i="8"/>
  <c r="AF67" i="8"/>
  <c r="AF68" i="8"/>
  <c r="AF69" i="8"/>
  <c r="AF70" i="8"/>
  <c r="AF71" i="8"/>
  <c r="AF72" i="8"/>
  <c r="AF73" i="8"/>
  <c r="AF74" i="8"/>
  <c r="AF75" i="8"/>
  <c r="AF76" i="8"/>
  <c r="AF77" i="8"/>
  <c r="AF78" i="8"/>
  <c r="AF81" i="8"/>
  <c r="AF82" i="8"/>
  <c r="AF83" i="8"/>
  <c r="AF84" i="8"/>
  <c r="AF18" i="8"/>
  <c r="AB4" i="8"/>
  <c r="AB5" i="8"/>
  <c r="AB6" i="8"/>
  <c r="AB7" i="8"/>
  <c r="AB8" i="8"/>
  <c r="AB9" i="8"/>
  <c r="AB38" i="8"/>
  <c r="AB10" i="8"/>
  <c r="AB11" i="8"/>
  <c r="AB13" i="8"/>
  <c r="AB14" i="8"/>
  <c r="AB42" i="8"/>
  <c r="AB43" i="8"/>
  <c r="AB16" i="8"/>
  <c r="AB44" i="8"/>
  <c r="AB45" i="8"/>
  <c r="AB17" i="8"/>
  <c r="AB20" i="8"/>
  <c r="AB21" i="8"/>
  <c r="AB23" i="8"/>
  <c r="AB24" i="8"/>
  <c r="AB25" i="8"/>
  <c r="AB26" i="8"/>
  <c r="AB27" i="8"/>
  <c r="AB28" i="8"/>
  <c r="AB29" i="8"/>
  <c r="AB79" i="8"/>
  <c r="AB30" i="8"/>
  <c r="AB31" i="8"/>
  <c r="AB22" i="8"/>
  <c r="AB80" i="8"/>
  <c r="AB32" i="8"/>
  <c r="AB51" i="8"/>
  <c r="AB46" i="8"/>
  <c r="AB47" i="8"/>
  <c r="AB33" i="8"/>
  <c r="AB34" i="8"/>
  <c r="AB50" i="8"/>
  <c r="AB35" i="8"/>
  <c r="AB36" i="8"/>
  <c r="AB37" i="8"/>
  <c r="AB39" i="8"/>
  <c r="AB40" i="8"/>
  <c r="AB48" i="8"/>
  <c r="AB49" i="8"/>
  <c r="AB52" i="8"/>
  <c r="AB53" i="8"/>
  <c r="AB54" i="8"/>
  <c r="AB55" i="8"/>
  <c r="AB56" i="8"/>
  <c r="AB57" i="8"/>
  <c r="AB58" i="8"/>
  <c r="AB59" i="8"/>
  <c r="AB60" i="8"/>
  <c r="AB61" i="8"/>
  <c r="AB62" i="8"/>
  <c r="AB63" i="8"/>
  <c r="AB64" i="8"/>
  <c r="AB65" i="8"/>
  <c r="AB66" i="8"/>
  <c r="AB67" i="8"/>
  <c r="AB68" i="8"/>
  <c r="AB69" i="8"/>
  <c r="AB70" i="8"/>
  <c r="AB71" i="8"/>
  <c r="AB72" i="8"/>
  <c r="AB73" i="8"/>
  <c r="AB74" i="8"/>
  <c r="AB75" i="8"/>
  <c r="AB76" i="8"/>
  <c r="AB77" i="8"/>
  <c r="AB78" i="8"/>
  <c r="AB81" i="8"/>
  <c r="AB82" i="8"/>
  <c r="AB83" i="8"/>
  <c r="AB84" i="8"/>
  <c r="AB18" i="8"/>
  <c r="AB12" i="8"/>
  <c r="AR5" i="8"/>
  <c r="AR6" i="8"/>
  <c r="AR7" i="8"/>
  <c r="AR8" i="8"/>
  <c r="AR9" i="8"/>
  <c r="AR38" i="8"/>
  <c r="AR10" i="8"/>
  <c r="AR11" i="8"/>
  <c r="AR13" i="8"/>
  <c r="AR14" i="8"/>
  <c r="AR42" i="8"/>
  <c r="AR43" i="8"/>
  <c r="AR16" i="8"/>
  <c r="AR44" i="8"/>
  <c r="AR45" i="8"/>
  <c r="AR17" i="8"/>
  <c r="AR20" i="8"/>
  <c r="AR21" i="8"/>
  <c r="AR23" i="8"/>
  <c r="AR24" i="8"/>
  <c r="AR25" i="8"/>
  <c r="AR26" i="8"/>
  <c r="AR27" i="8"/>
  <c r="AR28" i="8"/>
  <c r="AR29" i="8"/>
  <c r="AR79" i="8"/>
  <c r="AR30" i="8"/>
  <c r="AR31" i="8"/>
  <c r="AR22" i="8"/>
  <c r="AR80" i="8"/>
  <c r="AR32" i="8"/>
  <c r="AR51" i="8"/>
  <c r="AR46" i="8"/>
  <c r="AR47" i="8"/>
  <c r="AR33" i="8"/>
  <c r="AR34" i="8"/>
  <c r="AR50" i="8"/>
  <c r="AR35" i="8"/>
  <c r="AR36" i="8"/>
  <c r="AR37" i="8"/>
  <c r="AR39" i="8"/>
  <c r="AR40" i="8"/>
  <c r="AR48" i="8"/>
  <c r="AR49" i="8"/>
  <c r="AR52" i="8"/>
  <c r="AR53" i="8"/>
  <c r="AR54" i="8"/>
  <c r="AR55" i="8"/>
  <c r="AR56" i="8"/>
  <c r="AR57" i="8"/>
  <c r="AR58" i="8"/>
  <c r="AR59" i="8"/>
  <c r="AR60" i="8"/>
  <c r="AR61" i="8"/>
  <c r="AR62" i="8"/>
  <c r="AR63" i="8"/>
  <c r="AR64" i="8"/>
  <c r="AR65" i="8"/>
  <c r="AR66" i="8"/>
  <c r="AR67" i="8"/>
  <c r="AR68" i="8"/>
  <c r="AR69" i="8"/>
  <c r="AR70" i="8"/>
  <c r="AR71" i="8"/>
  <c r="AR72" i="8"/>
  <c r="AR73" i="8"/>
  <c r="AR74" i="8"/>
  <c r="AR75" i="8"/>
  <c r="AR76" i="8"/>
  <c r="AR77" i="8"/>
  <c r="AR78" i="8"/>
  <c r="AR81" i="8"/>
  <c r="AR82" i="8"/>
  <c r="AR83" i="8"/>
  <c r="AR84" i="8"/>
  <c r="AR18" i="8"/>
  <c r="AR4" i="8"/>
  <c r="AO5" i="8"/>
  <c r="AO6" i="8"/>
  <c r="AO7" i="8"/>
  <c r="AO8" i="8"/>
  <c r="AO9" i="8"/>
  <c r="AO38" i="8"/>
  <c r="AO10" i="8"/>
  <c r="AO11" i="8"/>
  <c r="AO13" i="8"/>
  <c r="AO14" i="8"/>
  <c r="AO42" i="8"/>
  <c r="AO43" i="8"/>
  <c r="AO16" i="8"/>
  <c r="AO44" i="8"/>
  <c r="AO45" i="8"/>
  <c r="AO17" i="8"/>
  <c r="AO20" i="8"/>
  <c r="AO21" i="8"/>
  <c r="AO23" i="8"/>
  <c r="AO24" i="8"/>
  <c r="AO25" i="8"/>
  <c r="AO26" i="8"/>
  <c r="AO27" i="8"/>
  <c r="AO28" i="8"/>
  <c r="AO29" i="8"/>
  <c r="AO79" i="8"/>
  <c r="AO30" i="8"/>
  <c r="AO31" i="8"/>
  <c r="AO22" i="8"/>
  <c r="AO80" i="8"/>
  <c r="AO32" i="8"/>
  <c r="AO51" i="8"/>
  <c r="AO46" i="8"/>
  <c r="AO47" i="8"/>
  <c r="AO33" i="8"/>
  <c r="AO34" i="8"/>
  <c r="AO50" i="8"/>
  <c r="AO35" i="8"/>
  <c r="AO36" i="8"/>
  <c r="AO37" i="8"/>
  <c r="AO39" i="8"/>
  <c r="AO40" i="8"/>
  <c r="AO48" i="8"/>
  <c r="AO49" i="8"/>
  <c r="AO52" i="8"/>
  <c r="AO53" i="8"/>
  <c r="AO54" i="8"/>
  <c r="AO55" i="8"/>
  <c r="AO56" i="8"/>
  <c r="AO57" i="8"/>
  <c r="AO58" i="8"/>
  <c r="AO59" i="8"/>
  <c r="AO60" i="8"/>
  <c r="AO61" i="8"/>
  <c r="AO62" i="8"/>
  <c r="AO63" i="8"/>
  <c r="AO64" i="8"/>
  <c r="AO65" i="8"/>
  <c r="AO66" i="8"/>
  <c r="AO67" i="8"/>
  <c r="AO68" i="8"/>
  <c r="AO69" i="8"/>
  <c r="AO70" i="8"/>
  <c r="AO71" i="8"/>
  <c r="AO72" i="8"/>
  <c r="AO73" i="8"/>
  <c r="AO74" i="8"/>
  <c r="AO75" i="8"/>
  <c r="AO76" i="8"/>
  <c r="AO77" i="8"/>
  <c r="AO78" i="8"/>
  <c r="AO81" i="8"/>
  <c r="AO82" i="8"/>
  <c r="AO83" i="8"/>
  <c r="AO84" i="8"/>
  <c r="AO18" i="8"/>
  <c r="AO4" i="8"/>
  <c r="AS5" i="8"/>
  <c r="AS6" i="8"/>
  <c r="AS7" i="8"/>
  <c r="AS8" i="8"/>
  <c r="AS9" i="8"/>
  <c r="AS38" i="8"/>
  <c r="AS10" i="8"/>
  <c r="AS11" i="8"/>
  <c r="AS13" i="8"/>
  <c r="AS14" i="8"/>
  <c r="AS42" i="8"/>
  <c r="AS43" i="8"/>
  <c r="AS16" i="8"/>
  <c r="AS44" i="8"/>
  <c r="AS45" i="8"/>
  <c r="AS17" i="8"/>
  <c r="AS20" i="8"/>
  <c r="AS21" i="8"/>
  <c r="AS23" i="8"/>
  <c r="AS24" i="8"/>
  <c r="AS25" i="8"/>
  <c r="AS26" i="8"/>
  <c r="AS27" i="8"/>
  <c r="AS28" i="8"/>
  <c r="AS29" i="8"/>
  <c r="AS79" i="8"/>
  <c r="AS30" i="8"/>
  <c r="AS31" i="8"/>
  <c r="AS22" i="8"/>
  <c r="AS80" i="8"/>
  <c r="AS32" i="8"/>
  <c r="AS51" i="8"/>
  <c r="AS46" i="8"/>
  <c r="AS47" i="8"/>
  <c r="AS33" i="8"/>
  <c r="AS34" i="8"/>
  <c r="AS50" i="8"/>
  <c r="AS35" i="8"/>
  <c r="AS36" i="8"/>
  <c r="AS37" i="8"/>
  <c r="AS39" i="8"/>
  <c r="AS40" i="8"/>
  <c r="AS48" i="8"/>
  <c r="AS49" i="8"/>
  <c r="AS52" i="8"/>
  <c r="AS53" i="8"/>
  <c r="AS54" i="8"/>
  <c r="AS55" i="8"/>
  <c r="AS56" i="8"/>
  <c r="AS57" i="8"/>
  <c r="AS58" i="8"/>
  <c r="AS59" i="8"/>
  <c r="AS60" i="8"/>
  <c r="AS61" i="8"/>
  <c r="AS62" i="8"/>
  <c r="AS63" i="8"/>
  <c r="AS64" i="8"/>
  <c r="AS65" i="8"/>
  <c r="AS66" i="8"/>
  <c r="AS67" i="8"/>
  <c r="AS68" i="8"/>
  <c r="AS69" i="8"/>
  <c r="AS70" i="8"/>
  <c r="AS71" i="8"/>
  <c r="AS72" i="8"/>
  <c r="AS73" i="8"/>
  <c r="AS74" i="8"/>
  <c r="AS75" i="8"/>
  <c r="AS76" i="8"/>
  <c r="AS77" i="8"/>
  <c r="AS78" i="8"/>
  <c r="AS81" i="8"/>
  <c r="AS82" i="8"/>
  <c r="AS83" i="8"/>
  <c r="AS84" i="8"/>
  <c r="AS18" i="8"/>
  <c r="AS4" i="8"/>
  <c r="AK5" i="8"/>
  <c r="AK6" i="8"/>
  <c r="AK7" i="8"/>
  <c r="AK8" i="8"/>
  <c r="AK9" i="8"/>
  <c r="AK38" i="8"/>
  <c r="AK10" i="8"/>
  <c r="AK11" i="8"/>
  <c r="AK13" i="8"/>
  <c r="AK14" i="8"/>
  <c r="AK42" i="8"/>
  <c r="AK43" i="8"/>
  <c r="AK16" i="8"/>
  <c r="AK44" i="8"/>
  <c r="AK45" i="8"/>
  <c r="AK17" i="8"/>
  <c r="AK20" i="8"/>
  <c r="AK21" i="8"/>
  <c r="AK23" i="8"/>
  <c r="AK24" i="8"/>
  <c r="AK25" i="8"/>
  <c r="AK26" i="8"/>
  <c r="AK27" i="8"/>
  <c r="AK28" i="8"/>
  <c r="AK29" i="8"/>
  <c r="AK79" i="8"/>
  <c r="AK30" i="8"/>
  <c r="AK31" i="8"/>
  <c r="AK22" i="8"/>
  <c r="AK80" i="8"/>
  <c r="AK32" i="8"/>
  <c r="AK51" i="8"/>
  <c r="AK46" i="8"/>
  <c r="AK47" i="8"/>
  <c r="AK33" i="8"/>
  <c r="AK34" i="8"/>
  <c r="AK50" i="8"/>
  <c r="AK35" i="8"/>
  <c r="AK36" i="8"/>
  <c r="AK37" i="8"/>
  <c r="AK39" i="8"/>
  <c r="AK40" i="8"/>
  <c r="AK48" i="8"/>
  <c r="AK49" i="8"/>
  <c r="AK52" i="8"/>
  <c r="AK53" i="8"/>
  <c r="AK54" i="8"/>
  <c r="AK55" i="8"/>
  <c r="AK56" i="8"/>
  <c r="AK57" i="8"/>
  <c r="AK58" i="8"/>
  <c r="AK59" i="8"/>
  <c r="AK60" i="8"/>
  <c r="AK61" i="8"/>
  <c r="AK62" i="8"/>
  <c r="AK63" i="8"/>
  <c r="AK64" i="8"/>
  <c r="AK65" i="8"/>
  <c r="AK66" i="8"/>
  <c r="AK67" i="8"/>
  <c r="AK68" i="8"/>
  <c r="AK69" i="8"/>
  <c r="AK70" i="8"/>
  <c r="AK71" i="8"/>
  <c r="AK72" i="8"/>
  <c r="AK73" i="8"/>
  <c r="AK74" i="8"/>
  <c r="AK75" i="8"/>
  <c r="AK76" i="8"/>
  <c r="AK77" i="8"/>
  <c r="AK78" i="8"/>
  <c r="AK81" i="8"/>
  <c r="AK82" i="8"/>
  <c r="AK83" i="8"/>
  <c r="AK84" i="8"/>
  <c r="AK18" i="8"/>
  <c r="AK4" i="8"/>
  <c r="AV5" i="8"/>
  <c r="AV6" i="8"/>
  <c r="AV7" i="8"/>
  <c r="AV8" i="8"/>
  <c r="AV9" i="8"/>
  <c r="AV38" i="8"/>
  <c r="AV10" i="8"/>
  <c r="AV11" i="8"/>
  <c r="AV13" i="8"/>
  <c r="AV14" i="8"/>
  <c r="AV42" i="8"/>
  <c r="AV43" i="8"/>
  <c r="AV16" i="8"/>
  <c r="AV44" i="8"/>
  <c r="AV45" i="8"/>
  <c r="AV17" i="8"/>
  <c r="AV20" i="8"/>
  <c r="AV21" i="8"/>
  <c r="AV23" i="8"/>
  <c r="AV24" i="8"/>
  <c r="AV25" i="8"/>
  <c r="AV26" i="8"/>
  <c r="AV27" i="8"/>
  <c r="AV28" i="8"/>
  <c r="AV29" i="8"/>
  <c r="AV79" i="8"/>
  <c r="AV30" i="8"/>
  <c r="AV31" i="8"/>
  <c r="AV22" i="8"/>
  <c r="AV80" i="8"/>
  <c r="AV32" i="8"/>
  <c r="AV51" i="8"/>
  <c r="AV46" i="8"/>
  <c r="AV47" i="8"/>
  <c r="AV33" i="8"/>
  <c r="AV34" i="8"/>
  <c r="AV50" i="8"/>
  <c r="AV35" i="8"/>
  <c r="AV36" i="8"/>
  <c r="AV37" i="8"/>
  <c r="AV39" i="8"/>
  <c r="AV40" i="8"/>
  <c r="AV48" i="8"/>
  <c r="AV49" i="8"/>
  <c r="AV52" i="8"/>
  <c r="AV53" i="8"/>
  <c r="AV54" i="8"/>
  <c r="AV55" i="8"/>
  <c r="AV56" i="8"/>
  <c r="AV57" i="8"/>
  <c r="AV58" i="8"/>
  <c r="AV59" i="8"/>
  <c r="AV60" i="8"/>
  <c r="AV61" i="8"/>
  <c r="AV62" i="8"/>
  <c r="AV63" i="8"/>
  <c r="AV64" i="8"/>
  <c r="AV65" i="8"/>
  <c r="AV66" i="8"/>
  <c r="AV67" i="8"/>
  <c r="AV68" i="8"/>
  <c r="AV69" i="8"/>
  <c r="AV70" i="8"/>
  <c r="AV71" i="8"/>
  <c r="AV72" i="8"/>
  <c r="AV73" i="8"/>
  <c r="AV74" i="8"/>
  <c r="AV75" i="8"/>
  <c r="AV76" i="8"/>
  <c r="AV77" i="8"/>
  <c r="AV78" i="8"/>
  <c r="AV81" i="8"/>
  <c r="AV82" i="8"/>
  <c r="AV83" i="8"/>
  <c r="AV84" i="8"/>
  <c r="AV18" i="8"/>
  <c r="AV4" i="8"/>
  <c r="AW5" i="8"/>
  <c r="AW6" i="8"/>
  <c r="AW7" i="8"/>
  <c r="AW8" i="8"/>
  <c r="AW9" i="8"/>
  <c r="AW38" i="8"/>
  <c r="AW10" i="8"/>
  <c r="AW11" i="8"/>
  <c r="AW13" i="8"/>
  <c r="AW14" i="8"/>
  <c r="AW42" i="8"/>
  <c r="AW43" i="8"/>
  <c r="AW44" i="8"/>
  <c r="AW45" i="8"/>
  <c r="AW17" i="8"/>
  <c r="AW20" i="8"/>
  <c r="AW21" i="8"/>
  <c r="AW23" i="8"/>
  <c r="AW24" i="8"/>
  <c r="AW25" i="8"/>
  <c r="AW26" i="8"/>
  <c r="AW27" i="8"/>
  <c r="AW28" i="8"/>
  <c r="AW29" i="8"/>
  <c r="AW79" i="8"/>
  <c r="AW30" i="8"/>
  <c r="AW31" i="8"/>
  <c r="AW22" i="8"/>
  <c r="AW80" i="8"/>
  <c r="AW32" i="8"/>
  <c r="AW51" i="8"/>
  <c r="AW46" i="8"/>
  <c r="AW47" i="8"/>
  <c r="AW33" i="8"/>
  <c r="AW34" i="8"/>
  <c r="AW50" i="8"/>
  <c r="AW35" i="8"/>
  <c r="AW36" i="8"/>
  <c r="AW37" i="8"/>
  <c r="AW39" i="8"/>
  <c r="AW40" i="8"/>
  <c r="AW48" i="8"/>
  <c r="AW49" i="8"/>
  <c r="AW52" i="8"/>
  <c r="AW53" i="8"/>
  <c r="AW54" i="8"/>
  <c r="AW55" i="8"/>
  <c r="AW56" i="8"/>
  <c r="AW57" i="8"/>
  <c r="AW58" i="8"/>
  <c r="AW59" i="8"/>
  <c r="AW60" i="8"/>
  <c r="AW61" i="8"/>
  <c r="AW62" i="8"/>
  <c r="AW63" i="8"/>
  <c r="AW64" i="8"/>
  <c r="AW65" i="8"/>
  <c r="AW66" i="8"/>
  <c r="AW67" i="8"/>
  <c r="AW68" i="8"/>
  <c r="AW69" i="8"/>
  <c r="AW70" i="8"/>
  <c r="AW71" i="8"/>
  <c r="AW72" i="8"/>
  <c r="AW73" i="8"/>
  <c r="AW74" i="8"/>
  <c r="AW75" i="8"/>
  <c r="AW76" i="8"/>
  <c r="AW77" i="8"/>
  <c r="AW78" i="8"/>
  <c r="AW81" i="8"/>
  <c r="AW82" i="8"/>
  <c r="AW83" i="8"/>
  <c r="AW84" i="8"/>
  <c r="AW18" i="8"/>
  <c r="AW4" i="8"/>
  <c r="AG5" i="8"/>
  <c r="AG6" i="8"/>
  <c r="AG7" i="8"/>
  <c r="AG8" i="8"/>
  <c r="AG9" i="8"/>
  <c r="AG38" i="8"/>
  <c r="AG10" i="8"/>
  <c r="AG11" i="8"/>
  <c r="AG13" i="8"/>
  <c r="AG14" i="8"/>
  <c r="AG42" i="8"/>
  <c r="AG43" i="8"/>
  <c r="AG16" i="8"/>
  <c r="AG44" i="8"/>
  <c r="AG45" i="8"/>
  <c r="AG17" i="8"/>
  <c r="AG20" i="8"/>
  <c r="AG21" i="8"/>
  <c r="AG23" i="8"/>
  <c r="AG24" i="8"/>
  <c r="AG25" i="8"/>
  <c r="AG26" i="8"/>
  <c r="AG27" i="8"/>
  <c r="AG28" i="8"/>
  <c r="AG29" i="8"/>
  <c r="AG79" i="8"/>
  <c r="AG30" i="8"/>
  <c r="AG31" i="8"/>
  <c r="AG22" i="8"/>
  <c r="AG80" i="8"/>
  <c r="AG32" i="8"/>
  <c r="AG51" i="8"/>
  <c r="AG46" i="8"/>
  <c r="AG47" i="8"/>
  <c r="AG33" i="8"/>
  <c r="AG34" i="8"/>
  <c r="AG50" i="8"/>
  <c r="AG35" i="8"/>
  <c r="AG36" i="8"/>
  <c r="AG37" i="8"/>
  <c r="AG39" i="8"/>
  <c r="AG40" i="8"/>
  <c r="AG48" i="8"/>
  <c r="AG49" i="8"/>
  <c r="AG52" i="8"/>
  <c r="AG53" i="8"/>
  <c r="AG54" i="8"/>
  <c r="AG55" i="8"/>
  <c r="AG56" i="8"/>
  <c r="AG57" i="8"/>
  <c r="AG58" i="8"/>
  <c r="AG59" i="8"/>
  <c r="AG60" i="8"/>
  <c r="AG61" i="8"/>
  <c r="AG62" i="8"/>
  <c r="AG63" i="8"/>
  <c r="AG64" i="8"/>
  <c r="AG65" i="8"/>
  <c r="AG66" i="8"/>
  <c r="AG67" i="8"/>
  <c r="AG68" i="8"/>
  <c r="AG69" i="8"/>
  <c r="AG70" i="8"/>
  <c r="AG71" i="8"/>
  <c r="AG72" i="8"/>
  <c r="AG73" i="8"/>
  <c r="AG74" i="8"/>
  <c r="AG75" i="8"/>
  <c r="AG76" i="8"/>
  <c r="AG77" i="8"/>
  <c r="AG78" i="8"/>
  <c r="AG81" i="8"/>
  <c r="AG82" i="8"/>
  <c r="AG83" i="8"/>
  <c r="AG84" i="8"/>
  <c r="AG18" i="8"/>
  <c r="AG4" i="8"/>
  <c r="AZ5" i="8"/>
  <c r="AZ6" i="8"/>
  <c r="AZ7" i="8"/>
  <c r="AZ8" i="8"/>
  <c r="AZ9" i="8"/>
  <c r="AZ38" i="8"/>
  <c r="AZ10" i="8"/>
  <c r="AZ11" i="8"/>
  <c r="AZ13" i="8"/>
  <c r="AZ14" i="8"/>
  <c r="AZ42" i="8"/>
  <c r="AZ43" i="8"/>
  <c r="AZ16" i="8"/>
  <c r="AZ44" i="8"/>
  <c r="AZ45" i="8"/>
  <c r="AZ17" i="8"/>
  <c r="AZ20" i="8"/>
  <c r="AZ21" i="8"/>
  <c r="AZ23" i="8"/>
  <c r="AZ25" i="8"/>
  <c r="AZ26" i="8"/>
  <c r="AZ27" i="8"/>
  <c r="AZ28" i="8"/>
  <c r="AZ29" i="8"/>
  <c r="AZ79" i="8"/>
  <c r="AZ30" i="8"/>
  <c r="AZ31" i="8"/>
  <c r="AZ22" i="8"/>
  <c r="AZ80" i="8"/>
  <c r="AZ32" i="8"/>
  <c r="AZ51" i="8"/>
  <c r="AZ46" i="8"/>
  <c r="AZ47" i="8"/>
  <c r="AZ33" i="8"/>
  <c r="AZ34" i="8"/>
  <c r="AZ50" i="8"/>
  <c r="AZ35" i="8"/>
  <c r="AZ36" i="8"/>
  <c r="AZ37" i="8"/>
  <c r="AZ39" i="8"/>
  <c r="AZ40" i="8"/>
  <c r="AZ48" i="8"/>
  <c r="AZ49" i="8"/>
  <c r="AZ52" i="8"/>
  <c r="AZ53" i="8"/>
  <c r="AZ54" i="8"/>
  <c r="AZ55" i="8"/>
  <c r="AZ56" i="8"/>
  <c r="AZ57" i="8"/>
  <c r="AZ58" i="8"/>
  <c r="AZ59" i="8"/>
  <c r="AZ60" i="8"/>
  <c r="AZ61" i="8"/>
  <c r="AZ62" i="8"/>
  <c r="AZ63" i="8"/>
  <c r="AZ64" i="8"/>
  <c r="AZ65" i="8"/>
  <c r="AZ66" i="8"/>
  <c r="AZ67" i="8"/>
  <c r="AZ68" i="8"/>
  <c r="AZ69" i="8"/>
  <c r="AZ70" i="8"/>
  <c r="AZ71" i="8"/>
  <c r="AZ72" i="8"/>
  <c r="AZ73" i="8"/>
  <c r="AZ74" i="8"/>
  <c r="AZ75" i="8"/>
  <c r="AZ76" i="8"/>
  <c r="AZ77" i="8"/>
  <c r="AZ78" i="8"/>
  <c r="AZ81" i="8"/>
  <c r="AZ82" i="8"/>
  <c r="AZ83" i="8"/>
  <c r="AZ84" i="8"/>
  <c r="AZ18" i="8"/>
  <c r="AC5" i="8"/>
  <c r="AC6" i="8"/>
  <c r="AC7" i="8"/>
  <c r="AC8" i="8"/>
  <c r="AC9" i="8"/>
  <c r="AC38" i="8"/>
  <c r="AC10" i="8"/>
  <c r="AC11" i="8"/>
  <c r="AC12" i="8"/>
  <c r="AC13" i="8"/>
  <c r="AC14" i="8"/>
  <c r="AC42" i="8"/>
  <c r="AC43" i="8"/>
  <c r="AC16" i="8"/>
  <c r="AC44" i="8"/>
  <c r="AC45" i="8"/>
  <c r="AC17" i="8"/>
  <c r="AC20" i="8"/>
  <c r="AC21" i="8"/>
  <c r="AC23" i="8"/>
  <c r="AC24" i="8"/>
  <c r="AC25" i="8"/>
  <c r="AC26" i="8"/>
  <c r="AC27" i="8"/>
  <c r="AC28" i="8"/>
  <c r="AC29" i="8"/>
  <c r="AC79" i="8"/>
  <c r="AC30" i="8"/>
  <c r="AC31" i="8"/>
  <c r="AC22" i="8"/>
  <c r="AC80" i="8"/>
  <c r="AC32" i="8"/>
  <c r="AC51" i="8"/>
  <c r="AC46" i="8"/>
  <c r="AC47" i="8"/>
  <c r="AC33" i="8"/>
  <c r="AC34" i="8"/>
  <c r="AC50" i="8"/>
  <c r="AC35" i="8"/>
  <c r="AC36" i="8"/>
  <c r="AC37" i="8"/>
  <c r="AC39" i="8"/>
  <c r="AC40" i="8"/>
  <c r="AC48" i="8"/>
  <c r="AC49" i="8"/>
  <c r="AC52" i="8"/>
  <c r="AC53" i="8"/>
  <c r="AC54" i="8"/>
  <c r="AC55" i="8"/>
  <c r="AC56" i="8"/>
  <c r="AC57" i="8"/>
  <c r="AC58" i="8"/>
  <c r="AC59" i="8"/>
  <c r="AC60" i="8"/>
  <c r="AC61" i="8"/>
  <c r="AC62" i="8"/>
  <c r="AC63" i="8"/>
  <c r="AC64" i="8"/>
  <c r="AC65" i="8"/>
  <c r="AC66" i="8"/>
  <c r="AC67" i="8"/>
  <c r="AC68" i="8"/>
  <c r="AC69" i="8"/>
  <c r="AC70" i="8"/>
  <c r="AC71" i="8"/>
  <c r="AC72" i="8"/>
  <c r="AC73" i="8"/>
  <c r="AC74" i="8"/>
  <c r="AC75" i="8"/>
  <c r="AC76" i="8"/>
  <c r="AC77" i="8"/>
  <c r="AC78" i="8"/>
  <c r="AC81" i="8"/>
  <c r="AC82" i="8"/>
  <c r="AC83" i="8"/>
  <c r="AC84" i="8"/>
  <c r="AC18" i="8"/>
  <c r="AC4" i="8"/>
  <c r="AZ4" i="8"/>
  <c r="BA5" i="8"/>
  <c r="BA6" i="8"/>
  <c r="BA7" i="8"/>
  <c r="BA8" i="8"/>
  <c r="BA9" i="8"/>
  <c r="BA38" i="8"/>
  <c r="BA10" i="8"/>
  <c r="BA11" i="8"/>
  <c r="BA13" i="8"/>
  <c r="BA14" i="8"/>
  <c r="BA42" i="8"/>
  <c r="BA43" i="8"/>
  <c r="BA16" i="8"/>
  <c r="BA44" i="8"/>
  <c r="BA45" i="8"/>
  <c r="BA17" i="8"/>
  <c r="BA20" i="8"/>
  <c r="BA21" i="8"/>
  <c r="BA23" i="8"/>
  <c r="BA24" i="8"/>
  <c r="BA25" i="8"/>
  <c r="BA26" i="8"/>
  <c r="BA27" i="8"/>
  <c r="BA28" i="8"/>
  <c r="BA29" i="8"/>
  <c r="BA79" i="8"/>
  <c r="BA30" i="8"/>
  <c r="BA31" i="8"/>
  <c r="BA22" i="8"/>
  <c r="BA80" i="8"/>
  <c r="BA32" i="8"/>
  <c r="BA51" i="8"/>
  <c r="BA46" i="8"/>
  <c r="BA47" i="8"/>
  <c r="BA33" i="8"/>
  <c r="BA34" i="8"/>
  <c r="BA50" i="8"/>
  <c r="BA35" i="8"/>
  <c r="BA36" i="8"/>
  <c r="BA37" i="8"/>
  <c r="BA39" i="8"/>
  <c r="BA40" i="8"/>
  <c r="BA48" i="8"/>
  <c r="BA49" i="8"/>
  <c r="BA52" i="8"/>
  <c r="BA53" i="8"/>
  <c r="BA54" i="8"/>
  <c r="BA55" i="8"/>
  <c r="BA56" i="8"/>
  <c r="BA57" i="8"/>
  <c r="BA58" i="8"/>
  <c r="BA59" i="8"/>
  <c r="BA60" i="8"/>
  <c r="BA61" i="8"/>
  <c r="BA62" i="8"/>
  <c r="BA63" i="8"/>
  <c r="BA64" i="8"/>
  <c r="BA65" i="8"/>
  <c r="BA66" i="8"/>
  <c r="BA67" i="8"/>
  <c r="BA68" i="8"/>
  <c r="BA69" i="8"/>
  <c r="BA70" i="8"/>
  <c r="BA71" i="8"/>
  <c r="BA72" i="8"/>
  <c r="BA73" i="8"/>
  <c r="BA74" i="8"/>
  <c r="BA75" i="8"/>
  <c r="BA76" i="8"/>
  <c r="BA77" i="8"/>
  <c r="BA78" i="8"/>
  <c r="BA81" i="8"/>
  <c r="BA82" i="8"/>
  <c r="BA83" i="8"/>
  <c r="BA84" i="8"/>
  <c r="BA18" i="8"/>
  <c r="BA4" i="8"/>
  <c r="U5" i="8"/>
  <c r="U6" i="8"/>
  <c r="U7" i="8"/>
  <c r="U8" i="8"/>
  <c r="U9" i="8"/>
  <c r="U11" i="8"/>
  <c r="U13" i="8"/>
  <c r="U14" i="8"/>
  <c r="U42" i="8"/>
  <c r="U43" i="8"/>
  <c r="U16" i="8"/>
  <c r="U44" i="8"/>
  <c r="U45" i="8"/>
  <c r="U17" i="8"/>
  <c r="U20" i="8"/>
  <c r="U21" i="8"/>
  <c r="U23" i="8"/>
  <c r="U24" i="8"/>
  <c r="U25" i="8"/>
  <c r="U26" i="8"/>
  <c r="U27" i="8"/>
  <c r="U28" i="8"/>
  <c r="U29" i="8"/>
  <c r="U79" i="8"/>
  <c r="U30" i="8"/>
  <c r="U31" i="8"/>
  <c r="U22" i="8"/>
  <c r="U80" i="8"/>
  <c r="U32" i="8"/>
  <c r="U51" i="8"/>
  <c r="U46" i="8"/>
  <c r="U47" i="8"/>
  <c r="U33" i="8"/>
  <c r="U34" i="8"/>
  <c r="U50" i="8"/>
  <c r="U35" i="8"/>
  <c r="U36" i="8"/>
  <c r="U37" i="8"/>
  <c r="U39" i="8"/>
  <c r="U40" i="8"/>
  <c r="U49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69" i="8"/>
  <c r="U70" i="8"/>
  <c r="U71" i="8"/>
  <c r="U72" i="8"/>
  <c r="U73" i="8"/>
  <c r="U74" i="8"/>
  <c r="U75" i="8"/>
  <c r="U76" i="8"/>
  <c r="U77" i="8"/>
  <c r="U78" i="8"/>
  <c r="U81" i="8"/>
  <c r="U82" i="8"/>
  <c r="U83" i="8"/>
  <c r="U84" i="8"/>
  <c r="U18" i="8"/>
  <c r="Y5" i="8"/>
  <c r="Y6" i="8"/>
  <c r="Y7" i="8"/>
  <c r="Y8" i="8"/>
  <c r="Y9" i="8"/>
  <c r="Y10" i="8"/>
  <c r="Y11" i="8"/>
  <c r="Y13" i="8"/>
  <c r="Y14" i="8"/>
  <c r="Y42" i="8"/>
  <c r="Y43" i="8"/>
  <c r="Y16" i="8"/>
  <c r="Y44" i="8"/>
  <c r="Y45" i="8"/>
  <c r="Y17" i="8"/>
  <c r="Y20" i="8"/>
  <c r="Y21" i="8"/>
  <c r="Y23" i="8"/>
  <c r="Y24" i="8"/>
  <c r="Y25" i="8"/>
  <c r="Y26" i="8"/>
  <c r="Y27" i="8"/>
  <c r="Y28" i="8"/>
  <c r="Y29" i="8"/>
  <c r="Y79" i="8"/>
  <c r="Y30" i="8"/>
  <c r="Y31" i="8"/>
  <c r="Y22" i="8"/>
  <c r="Y80" i="8"/>
  <c r="Y32" i="8"/>
  <c r="Y51" i="8"/>
  <c r="Y46" i="8"/>
  <c r="Y47" i="8"/>
  <c r="Y33" i="8"/>
  <c r="Y34" i="8"/>
  <c r="Y50" i="8"/>
  <c r="Y35" i="8"/>
  <c r="Y36" i="8"/>
  <c r="Y37" i="8"/>
  <c r="Y39" i="8"/>
  <c r="Y40" i="8"/>
  <c r="Y48" i="8"/>
  <c r="Y49" i="8"/>
  <c r="Y52" i="8"/>
  <c r="Y53" i="8"/>
  <c r="Y54" i="8"/>
  <c r="Y55" i="8"/>
  <c r="Y56" i="8"/>
  <c r="Y57" i="8"/>
  <c r="Y58" i="8"/>
  <c r="Y59" i="8"/>
  <c r="Y60" i="8"/>
  <c r="Y61" i="8"/>
  <c r="Y62" i="8"/>
  <c r="Y63" i="8"/>
  <c r="Y64" i="8"/>
  <c r="Y65" i="8"/>
  <c r="Y66" i="8"/>
  <c r="Y67" i="8"/>
  <c r="Y68" i="8"/>
  <c r="Y69" i="8"/>
  <c r="Y70" i="8"/>
  <c r="Y71" i="8"/>
  <c r="Y72" i="8"/>
  <c r="Y73" i="8"/>
  <c r="Y74" i="8"/>
  <c r="Y75" i="8"/>
  <c r="Y76" i="8"/>
  <c r="Y77" i="8"/>
  <c r="Y78" i="8"/>
  <c r="Y81" i="8"/>
  <c r="Y82" i="8"/>
  <c r="Y83" i="8"/>
  <c r="Y84" i="8"/>
  <c r="Y18" i="8"/>
  <c r="Y4" i="8"/>
  <c r="BD5" i="8"/>
  <c r="BD6" i="8"/>
  <c r="BD7" i="8"/>
  <c r="BD8" i="8"/>
  <c r="BD9" i="8"/>
  <c r="BD38" i="8"/>
  <c r="BD10" i="8"/>
  <c r="BD11" i="8"/>
  <c r="BD13" i="8"/>
  <c r="BD14" i="8"/>
  <c r="BD42" i="8"/>
  <c r="BD43" i="8"/>
  <c r="BD16" i="8"/>
  <c r="BD44" i="8"/>
  <c r="BD45" i="8"/>
  <c r="BD17" i="8"/>
  <c r="BD20" i="8"/>
  <c r="BD21" i="8"/>
  <c r="BD23" i="8"/>
  <c r="BD24" i="8"/>
  <c r="BD25" i="8"/>
  <c r="BD26" i="8"/>
  <c r="BD27" i="8"/>
  <c r="BD28" i="8"/>
  <c r="BD29" i="8"/>
  <c r="BD79" i="8"/>
  <c r="BD30" i="8"/>
  <c r="BD31" i="8"/>
  <c r="BD22" i="8"/>
  <c r="BD80" i="8"/>
  <c r="BD32" i="8"/>
  <c r="BD51" i="8"/>
  <c r="BD46" i="8"/>
  <c r="BD47" i="8"/>
  <c r="BD33" i="8"/>
  <c r="BD34" i="8"/>
  <c r="BD50" i="8"/>
  <c r="BD35" i="8"/>
  <c r="BD36" i="8"/>
  <c r="BD37" i="8"/>
  <c r="BD39" i="8"/>
  <c r="BD40" i="8"/>
  <c r="BD48" i="8"/>
  <c r="BD49" i="8"/>
  <c r="BD52" i="8"/>
  <c r="BD53" i="8"/>
  <c r="BD54" i="8"/>
  <c r="BD55" i="8"/>
  <c r="BD56" i="8"/>
  <c r="BD57" i="8"/>
  <c r="BD58" i="8"/>
  <c r="BD59" i="8"/>
  <c r="BD60" i="8"/>
  <c r="BD61" i="8"/>
  <c r="BD62" i="8"/>
  <c r="BD63" i="8"/>
  <c r="BD64" i="8"/>
  <c r="BD65" i="8"/>
  <c r="BD66" i="8"/>
  <c r="BD67" i="8"/>
  <c r="BD68" i="8"/>
  <c r="BD69" i="8"/>
  <c r="BD70" i="8"/>
  <c r="BD71" i="8"/>
  <c r="BD72" i="8"/>
  <c r="BD73" i="8"/>
  <c r="BD74" i="8"/>
  <c r="BD75" i="8"/>
  <c r="BD76" i="8"/>
  <c r="BD77" i="8"/>
  <c r="BD78" i="8"/>
  <c r="BD81" i="8"/>
  <c r="BD82" i="8"/>
  <c r="BD83" i="8"/>
  <c r="BD84" i="8"/>
  <c r="BD18" i="8"/>
  <c r="BE5" i="8"/>
  <c r="BE6" i="8"/>
  <c r="BE7" i="8"/>
  <c r="BE8" i="8"/>
  <c r="BE9" i="8"/>
  <c r="BE38" i="8"/>
  <c r="BE10" i="8"/>
  <c r="BE11" i="8"/>
  <c r="BE13" i="8"/>
  <c r="BE14" i="8"/>
  <c r="BE42" i="8"/>
  <c r="BE43" i="8"/>
  <c r="BE16" i="8"/>
  <c r="BE44" i="8"/>
  <c r="BE45" i="8"/>
  <c r="BE17" i="8"/>
  <c r="BE20" i="8"/>
  <c r="BE21" i="8"/>
  <c r="BE23" i="8"/>
  <c r="BE24" i="8"/>
  <c r="BE25" i="8"/>
  <c r="BE26" i="8"/>
  <c r="BE27" i="8"/>
  <c r="BE28" i="8"/>
  <c r="BE29" i="8"/>
  <c r="BE79" i="8"/>
  <c r="BE30" i="8"/>
  <c r="BE31" i="8"/>
  <c r="BE22" i="8"/>
  <c r="BE80" i="8"/>
  <c r="BE32" i="8"/>
  <c r="BE51" i="8"/>
  <c r="BE46" i="8"/>
  <c r="BE47" i="8"/>
  <c r="BE33" i="8"/>
  <c r="BE34" i="8"/>
  <c r="BE50" i="8"/>
  <c r="BE35" i="8"/>
  <c r="BE36" i="8"/>
  <c r="BE37" i="8"/>
  <c r="BE39" i="8"/>
  <c r="BE40" i="8"/>
  <c r="BE48" i="8"/>
  <c r="BE49" i="8"/>
  <c r="BE52" i="8"/>
  <c r="BE53" i="8"/>
  <c r="BE54" i="8"/>
  <c r="BE55" i="8"/>
  <c r="BE56" i="8"/>
  <c r="BE57" i="8"/>
  <c r="BE58" i="8"/>
  <c r="BE59" i="8"/>
  <c r="BE60" i="8"/>
  <c r="BE61" i="8"/>
  <c r="BE62" i="8"/>
  <c r="BE63" i="8"/>
  <c r="BE64" i="8"/>
  <c r="BE65" i="8"/>
  <c r="BE66" i="8"/>
  <c r="BE67" i="8"/>
  <c r="BE68" i="8"/>
  <c r="BE69" i="8"/>
  <c r="BE70" i="8"/>
  <c r="BE71" i="8"/>
  <c r="BE72" i="8"/>
  <c r="BE73" i="8"/>
  <c r="BE74" i="8"/>
  <c r="BE75" i="8"/>
  <c r="BE76" i="8"/>
  <c r="BE77" i="8"/>
  <c r="BE78" i="8"/>
  <c r="BE81" i="8"/>
  <c r="BE82" i="8"/>
  <c r="BE83" i="8"/>
  <c r="BE84" i="8"/>
  <c r="BE18" i="8"/>
  <c r="U4" i="8"/>
  <c r="BD4" i="8"/>
  <c r="BE4" i="8"/>
  <c r="P5" i="8"/>
  <c r="P6" i="8"/>
  <c r="P7" i="8"/>
  <c r="P8" i="8"/>
  <c r="P9" i="8"/>
  <c r="P10" i="8"/>
  <c r="P11" i="8"/>
  <c r="P13" i="8"/>
  <c r="P14" i="8"/>
  <c r="P42" i="8"/>
  <c r="P43" i="8"/>
  <c r="P16" i="8"/>
  <c r="P44" i="8"/>
  <c r="P45" i="8"/>
  <c r="P17" i="8"/>
  <c r="P20" i="8"/>
  <c r="P21" i="8"/>
  <c r="P23" i="8"/>
  <c r="P24" i="8"/>
  <c r="P25" i="8"/>
  <c r="P26" i="8"/>
  <c r="P27" i="8"/>
  <c r="P28" i="8"/>
  <c r="P29" i="8"/>
  <c r="P79" i="8"/>
  <c r="P30" i="8"/>
  <c r="P31" i="8"/>
  <c r="P22" i="8"/>
  <c r="P80" i="8"/>
  <c r="P32" i="8"/>
  <c r="P51" i="8"/>
  <c r="P46" i="8"/>
  <c r="P47" i="8"/>
  <c r="P33" i="8"/>
  <c r="P34" i="8"/>
  <c r="P50" i="8"/>
  <c r="P35" i="8"/>
  <c r="P36" i="8"/>
  <c r="P37" i="8"/>
  <c r="P39" i="8"/>
  <c r="P40" i="8"/>
  <c r="P48" i="8"/>
  <c r="P49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81" i="8"/>
  <c r="P82" i="8"/>
  <c r="P83" i="8"/>
  <c r="P84" i="8"/>
  <c r="P18" i="8"/>
  <c r="P4" i="8"/>
  <c r="BH5" i="8"/>
  <c r="BH6" i="8"/>
  <c r="BH7" i="8"/>
  <c r="BH8" i="8"/>
  <c r="BH9" i="8"/>
  <c r="BH38" i="8"/>
  <c r="BH10" i="8"/>
  <c r="BH11" i="8"/>
  <c r="BH42" i="8"/>
  <c r="BH43" i="8"/>
  <c r="BH16" i="8"/>
  <c r="BH44" i="8"/>
  <c r="BH45" i="8"/>
  <c r="BH20" i="8"/>
  <c r="BH21" i="8"/>
  <c r="BH23" i="8"/>
  <c r="BH24" i="8"/>
  <c r="BH25" i="8"/>
  <c r="BH26" i="8"/>
  <c r="BH27" i="8"/>
  <c r="BH28" i="8"/>
  <c r="BH29" i="8"/>
  <c r="BH79" i="8"/>
  <c r="BH30" i="8"/>
  <c r="BH31" i="8"/>
  <c r="BH22" i="8"/>
  <c r="BH80" i="8"/>
  <c r="BH32" i="8"/>
  <c r="BH51" i="8"/>
  <c r="BH46" i="8"/>
  <c r="BH47" i="8"/>
  <c r="BH33" i="8"/>
  <c r="BH34" i="8"/>
  <c r="BH50" i="8"/>
  <c r="BH35" i="8"/>
  <c r="BH36" i="8"/>
  <c r="BH37" i="8"/>
  <c r="BH39" i="8"/>
  <c r="BH40" i="8"/>
  <c r="BH48" i="8"/>
  <c r="BH49" i="8"/>
  <c r="BH52" i="8"/>
  <c r="BH53" i="8"/>
  <c r="BH54" i="8"/>
  <c r="BH55" i="8"/>
  <c r="BH56" i="8"/>
  <c r="BH57" i="8"/>
  <c r="BH58" i="8"/>
  <c r="BH59" i="8"/>
  <c r="BH60" i="8"/>
  <c r="BH61" i="8"/>
  <c r="BH62" i="8"/>
  <c r="BH63" i="8"/>
  <c r="BH64" i="8"/>
  <c r="BH65" i="8"/>
  <c r="BH66" i="8"/>
  <c r="BH67" i="8"/>
  <c r="BH68" i="8"/>
  <c r="BH69" i="8"/>
  <c r="BH70" i="8"/>
  <c r="BH71" i="8"/>
  <c r="BH72" i="8"/>
  <c r="BH73" i="8"/>
  <c r="BH74" i="8"/>
  <c r="BH75" i="8"/>
  <c r="BH76" i="8"/>
  <c r="BH77" i="8"/>
  <c r="BH78" i="8"/>
  <c r="BH81" i="8"/>
  <c r="BH82" i="8"/>
  <c r="BH83" i="8"/>
  <c r="BH84" i="8"/>
  <c r="BH4" i="8"/>
  <c r="Q29" i="8"/>
  <c r="Q79" i="8"/>
  <c r="Q30" i="8"/>
  <c r="Q31" i="8"/>
  <c r="Q22" i="8"/>
  <c r="Q80" i="8"/>
  <c r="Q32" i="8"/>
  <c r="Q51" i="8"/>
  <c r="Q46" i="8"/>
  <c r="Q47" i="8"/>
  <c r="Q33" i="8"/>
  <c r="Q34" i="8"/>
  <c r="Q50" i="8"/>
  <c r="Q35" i="8"/>
  <c r="Q36" i="8"/>
  <c r="Q37" i="8"/>
  <c r="Q39" i="8"/>
  <c r="Q40" i="8"/>
  <c r="Q48" i="8"/>
  <c r="Q49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81" i="8"/>
  <c r="Q82" i="8"/>
  <c r="Q83" i="8"/>
  <c r="Q84" i="8"/>
  <c r="Q18" i="8"/>
  <c r="Q5" i="8"/>
  <c r="Q6" i="8"/>
  <c r="Q7" i="8"/>
  <c r="Q8" i="8"/>
  <c r="Q9" i="8"/>
  <c r="Q10" i="8"/>
  <c r="Q11" i="8"/>
  <c r="Q13" i="8"/>
  <c r="Q14" i="8"/>
  <c r="Q42" i="8"/>
  <c r="Q43" i="8"/>
  <c r="Q16" i="8"/>
  <c r="Q44" i="8"/>
  <c r="Q45" i="8"/>
  <c r="Q17" i="8"/>
  <c r="Q20" i="8"/>
  <c r="Q21" i="8"/>
  <c r="Q23" i="8"/>
  <c r="Q24" i="8"/>
  <c r="Q25" i="8"/>
  <c r="Q26" i="8"/>
  <c r="Q27" i="8"/>
  <c r="Q28" i="8"/>
  <c r="Q4" i="8"/>
  <c r="BD6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K5" i="7"/>
  <c r="BK6" i="7"/>
  <c r="BK7" i="7"/>
  <c r="BK4" i="7"/>
  <c r="BK8" i="7"/>
  <c r="BK9" i="7"/>
  <c r="BK10" i="7"/>
  <c r="BK26" i="7"/>
  <c r="BK11" i="7"/>
  <c r="BK12" i="7"/>
  <c r="BK13" i="7"/>
  <c r="BK14" i="7"/>
  <c r="BK15" i="7"/>
  <c r="BK16" i="7"/>
  <c r="BK17" i="7"/>
  <c r="BK18" i="7"/>
  <c r="BK19" i="7"/>
  <c r="BK20" i="7"/>
  <c r="BK21" i="7"/>
  <c r="BK22" i="7"/>
  <c r="BK23" i="7"/>
  <c r="BK24" i="7"/>
  <c r="BK25" i="7"/>
  <c r="BH5" i="7"/>
  <c r="BI5" i="7"/>
  <c r="BH6" i="7"/>
  <c r="BI6" i="7"/>
  <c r="BH7" i="7"/>
  <c r="BI7" i="7"/>
  <c r="BH4" i="7"/>
  <c r="BI4" i="7"/>
  <c r="BH8" i="7"/>
  <c r="BI8" i="7"/>
  <c r="BH9" i="7"/>
  <c r="BI9" i="7"/>
  <c r="BH10" i="7"/>
  <c r="BI10" i="7"/>
  <c r="BH26" i="7"/>
  <c r="BI26" i="7"/>
  <c r="BH11" i="7"/>
  <c r="BI11" i="7"/>
  <c r="BH12" i="7"/>
  <c r="BI12" i="7"/>
  <c r="BH13" i="7"/>
  <c r="BI13" i="7"/>
  <c r="BH14" i="7"/>
  <c r="BI14" i="7"/>
  <c r="BH15" i="7"/>
  <c r="BI15" i="7"/>
  <c r="BH16" i="7"/>
  <c r="BI16" i="7"/>
  <c r="BH17" i="7"/>
  <c r="BI17" i="7"/>
  <c r="BH18" i="7"/>
  <c r="BI18" i="7"/>
  <c r="BH19" i="7"/>
  <c r="BI19" i="7"/>
  <c r="BH20" i="7"/>
  <c r="BI20" i="7"/>
  <c r="BH21" i="7"/>
  <c r="BI21" i="7"/>
  <c r="BH22" i="7"/>
  <c r="BI22" i="7"/>
  <c r="BH23" i="7"/>
  <c r="BI23" i="7"/>
  <c r="BH24" i="7"/>
  <c r="BI24" i="7"/>
  <c r="BH25" i="7"/>
  <c r="BI25" i="7"/>
  <c r="BD5" i="7"/>
  <c r="BE5" i="7"/>
  <c r="BE6" i="7"/>
  <c r="BD7" i="7"/>
  <c r="BE7" i="7"/>
  <c r="BD4" i="7"/>
  <c r="BE4" i="7"/>
  <c r="BD8" i="7"/>
  <c r="BE8" i="7"/>
  <c r="BD9" i="7"/>
  <c r="BE9" i="7"/>
  <c r="BD10" i="7"/>
  <c r="BE10" i="7"/>
  <c r="BD26" i="7"/>
  <c r="BE26" i="7"/>
  <c r="BD11" i="7"/>
  <c r="BE11" i="7"/>
  <c r="BD12" i="7"/>
  <c r="BE12" i="7"/>
  <c r="BD13" i="7"/>
  <c r="BE13" i="7"/>
  <c r="BD14" i="7"/>
  <c r="BE14" i="7"/>
  <c r="BD15" i="7"/>
  <c r="BE15" i="7"/>
  <c r="BD16" i="7"/>
  <c r="BE16" i="7"/>
  <c r="BD17" i="7"/>
  <c r="BE17" i="7"/>
  <c r="BD18" i="7"/>
  <c r="BE18" i="7"/>
  <c r="BD19" i="7"/>
  <c r="BE19" i="7"/>
  <c r="BD20" i="7"/>
  <c r="BE20" i="7"/>
  <c r="BD21" i="7"/>
  <c r="BE21" i="7"/>
  <c r="BD22" i="7"/>
  <c r="BE22" i="7"/>
  <c r="BD23" i="7"/>
  <c r="BE23" i="7"/>
  <c r="BD24" i="7"/>
  <c r="BE24" i="7"/>
  <c r="BD25" i="7"/>
  <c r="BE25" i="7"/>
  <c r="AZ5" i="7"/>
  <c r="BA5" i="7"/>
  <c r="AZ6" i="7"/>
  <c r="BA6" i="7"/>
  <c r="AZ7" i="7"/>
  <c r="BA7" i="7"/>
  <c r="AZ4" i="7"/>
  <c r="BA4" i="7"/>
  <c r="AZ8" i="7"/>
  <c r="BA8" i="7"/>
  <c r="AZ9" i="7"/>
  <c r="BA9" i="7"/>
  <c r="AZ10" i="7"/>
  <c r="BA10" i="7"/>
  <c r="AZ26" i="7"/>
  <c r="BA26" i="7"/>
  <c r="AZ11" i="7"/>
  <c r="BA11" i="7"/>
  <c r="AZ12" i="7"/>
  <c r="BA12" i="7"/>
  <c r="AZ13" i="7"/>
  <c r="BA13" i="7"/>
  <c r="AZ14" i="7"/>
  <c r="BA14" i="7"/>
  <c r="AZ15" i="7"/>
  <c r="BA15" i="7"/>
  <c r="AZ16" i="7"/>
  <c r="BA16" i="7"/>
  <c r="AZ17" i="7"/>
  <c r="BA17" i="7"/>
  <c r="AZ18" i="7"/>
  <c r="BA18" i="7"/>
  <c r="AZ19" i="7"/>
  <c r="BA19" i="7"/>
  <c r="AZ20" i="7"/>
  <c r="BA20" i="7"/>
  <c r="AZ21" i="7"/>
  <c r="BA21" i="7"/>
  <c r="AZ22" i="7"/>
  <c r="BA22" i="7"/>
  <c r="AZ23" i="7"/>
  <c r="BA23" i="7"/>
  <c r="AZ24" i="7"/>
  <c r="BA24" i="7"/>
  <c r="AZ25" i="7"/>
  <c r="BA25" i="7"/>
  <c r="AV5" i="7"/>
  <c r="AW5" i="7"/>
  <c r="AV6" i="7"/>
  <c r="AW6" i="7"/>
  <c r="AV7" i="7"/>
  <c r="AW7" i="7"/>
  <c r="AV4" i="7"/>
  <c r="AW4" i="7"/>
  <c r="AV8" i="7"/>
  <c r="AW8" i="7"/>
  <c r="AV9" i="7"/>
  <c r="AW9" i="7"/>
  <c r="AV10" i="7"/>
  <c r="AW10" i="7"/>
  <c r="AV26" i="7"/>
  <c r="AW26" i="7"/>
  <c r="AV11" i="7"/>
  <c r="AW11" i="7"/>
  <c r="AV12" i="7"/>
  <c r="AW12" i="7"/>
  <c r="AV13" i="7"/>
  <c r="AW13" i="7"/>
  <c r="AV14" i="7"/>
  <c r="AW14" i="7"/>
  <c r="AV15" i="7"/>
  <c r="AW15" i="7"/>
  <c r="AV16" i="7"/>
  <c r="AW16" i="7"/>
  <c r="AV17" i="7"/>
  <c r="AW17" i="7"/>
  <c r="AV18" i="7"/>
  <c r="AW18" i="7"/>
  <c r="AV19" i="7"/>
  <c r="AW19" i="7"/>
  <c r="AV20" i="7"/>
  <c r="AW20" i="7"/>
  <c r="AV21" i="7"/>
  <c r="AW21" i="7"/>
  <c r="AV22" i="7"/>
  <c r="AW22" i="7"/>
  <c r="AV23" i="7"/>
  <c r="AW23" i="7"/>
  <c r="AV24" i="7"/>
  <c r="AW24" i="7"/>
  <c r="AV25" i="7"/>
  <c r="AW25" i="7"/>
  <c r="AR5" i="7"/>
  <c r="AS5" i="7"/>
  <c r="AR6" i="7"/>
  <c r="AS6" i="7"/>
  <c r="AR7" i="7"/>
  <c r="AS7" i="7"/>
  <c r="AR4" i="7"/>
  <c r="AS4" i="7"/>
  <c r="AR8" i="7"/>
  <c r="AS8" i="7"/>
  <c r="AR9" i="7"/>
  <c r="AS9" i="7"/>
  <c r="AR10" i="7"/>
  <c r="AS10" i="7"/>
  <c r="AR26" i="7"/>
  <c r="AS26" i="7"/>
  <c r="AR11" i="7"/>
  <c r="AS11" i="7"/>
  <c r="AR12" i="7"/>
  <c r="AS12" i="7"/>
  <c r="AR13" i="7"/>
  <c r="AS13" i="7"/>
  <c r="AR14" i="7"/>
  <c r="AS14" i="7"/>
  <c r="AR15" i="7"/>
  <c r="AS15" i="7"/>
  <c r="AR16" i="7"/>
  <c r="AS16" i="7"/>
  <c r="AR17" i="7"/>
  <c r="AS17" i="7"/>
  <c r="AR18" i="7"/>
  <c r="AS18" i="7"/>
  <c r="AR19" i="7"/>
  <c r="AS19" i="7"/>
  <c r="AR20" i="7"/>
  <c r="AS20" i="7"/>
  <c r="AR21" i="7"/>
  <c r="AS21" i="7"/>
  <c r="AR22" i="7"/>
  <c r="AS22" i="7"/>
  <c r="AR23" i="7"/>
  <c r="AS23" i="7"/>
  <c r="AR24" i="7"/>
  <c r="AS24" i="7"/>
  <c r="AR25" i="7"/>
  <c r="AS25" i="7"/>
  <c r="AN25" i="7"/>
  <c r="AO25" i="7"/>
  <c r="AN5" i="7"/>
  <c r="AO5" i="7"/>
  <c r="AN6" i="7"/>
  <c r="AO6" i="7"/>
  <c r="AN7" i="7"/>
  <c r="AO7" i="7"/>
  <c r="AN4" i="7"/>
  <c r="AO4" i="7"/>
  <c r="AN8" i="7"/>
  <c r="AO8" i="7"/>
  <c r="AN9" i="7"/>
  <c r="AO9" i="7"/>
  <c r="AN10" i="7"/>
  <c r="AO10" i="7"/>
  <c r="AN26" i="7"/>
  <c r="AO26" i="7"/>
  <c r="AN11" i="7"/>
  <c r="AO11" i="7"/>
  <c r="AN12" i="7"/>
  <c r="AO12" i="7"/>
  <c r="AN13" i="7"/>
  <c r="AO13" i="7"/>
  <c r="AN14" i="7"/>
  <c r="AO14" i="7"/>
  <c r="AN15" i="7"/>
  <c r="AO15" i="7"/>
  <c r="AN16" i="7"/>
  <c r="AO16" i="7"/>
  <c r="AN17" i="7"/>
  <c r="AO17" i="7"/>
  <c r="AN18" i="7"/>
  <c r="AO18" i="7"/>
  <c r="AN19" i="7"/>
  <c r="AO19" i="7"/>
  <c r="AN20" i="7"/>
  <c r="AO20" i="7"/>
  <c r="AN21" i="7"/>
  <c r="AO21" i="7"/>
  <c r="AN22" i="7"/>
  <c r="AO22" i="7"/>
  <c r="AN23" i="7"/>
  <c r="AO23" i="7"/>
  <c r="AN24" i="7"/>
  <c r="AO24" i="7"/>
  <c r="AJ5" i="7"/>
  <c r="AK5" i="7"/>
  <c r="AJ6" i="7"/>
  <c r="AK6" i="7"/>
  <c r="AJ7" i="7"/>
  <c r="AK7" i="7"/>
  <c r="AJ4" i="7"/>
  <c r="AK4" i="7"/>
  <c r="AJ8" i="7"/>
  <c r="AK8" i="7"/>
  <c r="AJ9" i="7"/>
  <c r="AK9" i="7"/>
  <c r="AJ10" i="7"/>
  <c r="AK10" i="7"/>
  <c r="AJ26" i="7"/>
  <c r="AK26" i="7"/>
  <c r="AJ11" i="7"/>
  <c r="AK11" i="7"/>
  <c r="AJ12" i="7"/>
  <c r="AK12" i="7"/>
  <c r="AJ13" i="7"/>
  <c r="AK13" i="7"/>
  <c r="AJ14" i="7"/>
  <c r="AK14" i="7"/>
  <c r="AJ15" i="7"/>
  <c r="AK15" i="7"/>
  <c r="AJ16" i="7"/>
  <c r="AK16" i="7"/>
  <c r="AJ17" i="7"/>
  <c r="AK17" i="7"/>
  <c r="AJ18" i="7"/>
  <c r="AK18" i="7"/>
  <c r="AJ19" i="7"/>
  <c r="AK19" i="7"/>
  <c r="AJ20" i="7"/>
  <c r="AK20" i="7"/>
  <c r="AJ21" i="7"/>
  <c r="AK21" i="7"/>
  <c r="AJ22" i="7"/>
  <c r="AK22" i="7"/>
  <c r="AJ23" i="7"/>
  <c r="AK23" i="7"/>
  <c r="AJ24" i="7"/>
  <c r="AK24" i="7"/>
  <c r="AJ25" i="7"/>
  <c r="AK25" i="7"/>
  <c r="AF5" i="7"/>
  <c r="AG5" i="7"/>
  <c r="AF6" i="7"/>
  <c r="AG6" i="7"/>
  <c r="AF7" i="7"/>
  <c r="AG7" i="7"/>
  <c r="AF4" i="7"/>
  <c r="AG4" i="7"/>
  <c r="AF8" i="7"/>
  <c r="AG8" i="7"/>
  <c r="AF9" i="7"/>
  <c r="AG9" i="7"/>
  <c r="AF10" i="7"/>
  <c r="AG10" i="7"/>
  <c r="AF26" i="7"/>
  <c r="AG26" i="7"/>
  <c r="AF11" i="7"/>
  <c r="AG11" i="7"/>
  <c r="AF12" i="7"/>
  <c r="AG12" i="7"/>
  <c r="AF13" i="7"/>
  <c r="AG13" i="7"/>
  <c r="AF14" i="7"/>
  <c r="AG14" i="7"/>
  <c r="AF15" i="7"/>
  <c r="AG15" i="7"/>
  <c r="AF16" i="7"/>
  <c r="AG16" i="7"/>
  <c r="AF17" i="7"/>
  <c r="AG17" i="7"/>
  <c r="AF18" i="7"/>
  <c r="AG18" i="7"/>
  <c r="AF19" i="7"/>
  <c r="AG19" i="7"/>
  <c r="AF20" i="7"/>
  <c r="AG20" i="7"/>
  <c r="AF21" i="7"/>
  <c r="AG21" i="7"/>
  <c r="AF22" i="7"/>
  <c r="AG22" i="7"/>
  <c r="AF23" i="7"/>
  <c r="AG23" i="7"/>
  <c r="AF24" i="7"/>
  <c r="AG24" i="7"/>
  <c r="AF25" i="7"/>
  <c r="AG25" i="7"/>
  <c r="AB5" i="7"/>
  <c r="AC5" i="7"/>
  <c r="AB6" i="7"/>
  <c r="AC6" i="7"/>
  <c r="AB7" i="7"/>
  <c r="AC7" i="7"/>
  <c r="AB4" i="7"/>
  <c r="AC4" i="7"/>
  <c r="AB8" i="7"/>
  <c r="AC8" i="7"/>
  <c r="AB9" i="7"/>
  <c r="AC9" i="7"/>
  <c r="AB10" i="7"/>
  <c r="AC10" i="7"/>
  <c r="AB26" i="7"/>
  <c r="AC26" i="7"/>
  <c r="AB11" i="7"/>
  <c r="AC11" i="7"/>
  <c r="AB12" i="7"/>
  <c r="AC12" i="7"/>
  <c r="AB13" i="7"/>
  <c r="AC13" i="7"/>
  <c r="AB14" i="7"/>
  <c r="AC14" i="7"/>
  <c r="AB15" i="7"/>
  <c r="AC15" i="7"/>
  <c r="AB16" i="7"/>
  <c r="AC16" i="7"/>
  <c r="AB17" i="7"/>
  <c r="AC17" i="7"/>
  <c r="AB18" i="7"/>
  <c r="AC18" i="7"/>
  <c r="AB19" i="7"/>
  <c r="AC19" i="7"/>
  <c r="AB20" i="7"/>
  <c r="AC20" i="7"/>
  <c r="AB21" i="7"/>
  <c r="AC21" i="7"/>
  <c r="AB22" i="7"/>
  <c r="AC22" i="7"/>
  <c r="AB23" i="7"/>
  <c r="AC23" i="7"/>
  <c r="AB24" i="7"/>
  <c r="AC24" i="7"/>
  <c r="AB25" i="7"/>
  <c r="AC25" i="7"/>
  <c r="X5" i="7"/>
  <c r="Y5" i="7"/>
  <c r="X6" i="7"/>
  <c r="Y6" i="7"/>
  <c r="X7" i="7"/>
  <c r="Y7" i="7"/>
  <c r="X4" i="7"/>
  <c r="Y4" i="7"/>
  <c r="X8" i="7"/>
  <c r="Y8" i="7"/>
  <c r="X9" i="7"/>
  <c r="Y9" i="7"/>
  <c r="X10" i="7"/>
  <c r="Y10" i="7"/>
  <c r="X26" i="7"/>
  <c r="Y26" i="7"/>
  <c r="X11" i="7"/>
  <c r="Y11" i="7"/>
  <c r="X12" i="7"/>
  <c r="Y12" i="7"/>
  <c r="X13" i="7"/>
  <c r="Y13" i="7"/>
  <c r="X14" i="7"/>
  <c r="Y14" i="7"/>
  <c r="X15" i="7"/>
  <c r="Y15" i="7"/>
  <c r="X16" i="7"/>
  <c r="Y16" i="7"/>
  <c r="X17" i="7"/>
  <c r="Y17" i="7"/>
  <c r="X18" i="7"/>
  <c r="Y18" i="7"/>
  <c r="X19" i="7"/>
  <c r="Y19" i="7"/>
  <c r="X20" i="7"/>
  <c r="Y20" i="7"/>
  <c r="X21" i="7"/>
  <c r="Y21" i="7"/>
  <c r="X22" i="7"/>
  <c r="Y22" i="7"/>
  <c r="X23" i="7"/>
  <c r="Y23" i="7"/>
  <c r="X24" i="7"/>
  <c r="Y24" i="7"/>
  <c r="X25" i="7"/>
  <c r="Y25" i="7"/>
  <c r="T5" i="7"/>
  <c r="U5" i="7"/>
  <c r="T6" i="7"/>
  <c r="U6" i="7"/>
  <c r="T7" i="7"/>
  <c r="U7" i="7"/>
  <c r="T4" i="7"/>
  <c r="U4" i="7"/>
  <c r="T8" i="7"/>
  <c r="U8" i="7"/>
  <c r="T9" i="7"/>
  <c r="U9" i="7"/>
  <c r="T10" i="7"/>
  <c r="U10" i="7"/>
  <c r="T26" i="7"/>
  <c r="U26" i="7"/>
  <c r="T11" i="7"/>
  <c r="U11" i="7"/>
  <c r="T12" i="7"/>
  <c r="U12" i="7"/>
  <c r="T13" i="7"/>
  <c r="U13" i="7"/>
  <c r="T14" i="7"/>
  <c r="U14" i="7"/>
  <c r="T15" i="7"/>
  <c r="U15" i="7"/>
  <c r="T16" i="7"/>
  <c r="U16" i="7"/>
  <c r="T17" i="7"/>
  <c r="U17" i="7"/>
  <c r="T18" i="7"/>
  <c r="U18" i="7"/>
  <c r="T19" i="7"/>
  <c r="U19" i="7"/>
  <c r="T20" i="7"/>
  <c r="U20" i="7"/>
  <c r="T21" i="7"/>
  <c r="U21" i="7"/>
  <c r="T22" i="7"/>
  <c r="U22" i="7"/>
  <c r="T23" i="7"/>
  <c r="U23" i="7"/>
  <c r="T24" i="7"/>
  <c r="U24" i="7"/>
  <c r="T25" i="7"/>
  <c r="U25" i="7"/>
  <c r="P6" i="7"/>
  <c r="Q6" i="7"/>
  <c r="P7" i="7"/>
  <c r="Q7" i="7"/>
  <c r="P4" i="7"/>
  <c r="Q4" i="7"/>
  <c r="P8" i="7"/>
  <c r="Q8" i="7"/>
  <c r="P9" i="7"/>
  <c r="Q9" i="7"/>
  <c r="P10" i="7"/>
  <c r="Q10" i="7"/>
  <c r="P26" i="7"/>
  <c r="Q26" i="7"/>
  <c r="P11" i="7"/>
  <c r="Q11" i="7"/>
  <c r="P12" i="7"/>
  <c r="Q12" i="7"/>
  <c r="P13" i="7"/>
  <c r="Q13" i="7"/>
  <c r="P14" i="7"/>
  <c r="Q14" i="7"/>
  <c r="P15" i="7"/>
  <c r="Q15" i="7"/>
  <c r="P16" i="7"/>
  <c r="Q16" i="7"/>
  <c r="P17" i="7"/>
  <c r="Q17" i="7"/>
  <c r="P18" i="7"/>
  <c r="Q18" i="7"/>
  <c r="P19" i="7"/>
  <c r="Q19" i="7"/>
  <c r="P20" i="7"/>
  <c r="Q20" i="7"/>
  <c r="P21" i="7"/>
  <c r="Q21" i="7"/>
  <c r="P22" i="7"/>
  <c r="Q22" i="7"/>
  <c r="P23" i="7"/>
  <c r="Q23" i="7"/>
  <c r="P24" i="7"/>
  <c r="Q24" i="7"/>
  <c r="P25" i="7"/>
  <c r="Q25" i="7"/>
  <c r="P5" i="7"/>
  <c r="Q5" i="7"/>
  <c r="P38" i="8" l="1"/>
  <c r="Q38" i="8"/>
  <c r="T10" i="8"/>
  <c r="BL10" i="8" s="1"/>
  <c r="U10" i="8"/>
  <c r="T38" i="8"/>
  <c r="BL38" i="8" s="1"/>
  <c r="U38" i="8"/>
  <c r="BL19" i="8"/>
  <c r="BO19" i="8"/>
  <c r="BN19" i="8"/>
  <c r="BM19" i="8"/>
  <c r="BL58" i="8"/>
  <c r="BL50" i="8"/>
  <c r="BL36" i="8"/>
  <c r="BL37" i="8"/>
  <c r="BL40" i="8"/>
  <c r="BL48" i="8"/>
  <c r="BL52" i="8"/>
  <c r="BL54" i="8"/>
  <c r="BL56" i="8"/>
  <c r="BL59" i="8"/>
  <c r="BL4" i="8"/>
  <c r="BL35" i="8"/>
  <c r="BL39" i="8"/>
  <c r="BL49" i="8"/>
  <c r="BL53" i="8"/>
  <c r="BL55" i="8"/>
  <c r="BL57" i="8"/>
  <c r="BL7" i="8"/>
  <c r="BL17" i="8"/>
  <c r="BL23" i="8"/>
  <c r="BL27" i="8"/>
  <c r="BL79" i="8"/>
  <c r="BL32" i="8"/>
  <c r="BL33" i="8"/>
  <c r="BL8" i="8"/>
  <c r="BL9" i="8"/>
  <c r="BL43" i="8"/>
  <c r="BL20" i="8"/>
  <c r="BL25" i="8"/>
  <c r="BL28" i="8"/>
  <c r="BL31" i="8"/>
  <c r="BL51" i="8"/>
  <c r="BL34" i="8"/>
  <c r="BL6" i="8"/>
  <c r="BL11" i="8"/>
  <c r="BL45" i="8"/>
  <c r="BL21" i="8"/>
  <c r="BL26" i="8"/>
  <c r="BL29" i="8"/>
  <c r="BL22" i="8"/>
  <c r="BL47" i="8"/>
  <c r="BL44" i="8"/>
  <c r="BL30" i="8"/>
  <c r="BL46" i="8"/>
  <c r="BL80" i="8"/>
  <c r="BL70" i="8"/>
  <c r="BL69" i="8"/>
  <c r="BL68" i="8"/>
  <c r="BL67" i="8"/>
  <c r="BL66" i="8"/>
  <c r="BL65" i="8"/>
  <c r="BL64" i="8"/>
  <c r="BL63" i="8"/>
  <c r="BL62" i="8"/>
  <c r="BL61" i="8"/>
  <c r="BL60" i="8"/>
  <c r="BL24" i="8"/>
  <c r="BL14" i="8"/>
  <c r="BL13" i="8"/>
  <c r="BL41" i="8"/>
  <c r="BL18" i="8"/>
  <c r="BL84" i="8"/>
  <c r="BL83" i="8"/>
  <c r="BL82" i="8"/>
  <c r="BL81" i="8"/>
  <c r="BL78" i="8"/>
  <c r="BL77" i="8"/>
  <c r="BL76" i="8"/>
  <c r="BL75" i="8"/>
  <c r="BL74" i="8"/>
  <c r="BL73" i="8"/>
  <c r="BL72" i="8"/>
  <c r="BL71" i="8"/>
  <c r="BL42" i="8"/>
  <c r="BL16" i="8"/>
  <c r="BL5" i="8"/>
  <c r="BO41" i="8"/>
  <c r="BN41" i="8"/>
  <c r="AB15" i="8"/>
  <c r="Y15" i="8"/>
  <c r="X15" i="8"/>
  <c r="T15" i="8"/>
  <c r="U15" i="8"/>
  <c r="P15" i="8"/>
  <c r="Q15" i="8"/>
  <c r="BI15" i="8"/>
  <c r="BJ15" i="8"/>
  <c r="BJ12" i="8"/>
  <c r="BI12" i="8"/>
  <c r="T12" i="8"/>
  <c r="U12" i="8"/>
  <c r="BM4" i="8"/>
  <c r="BM41" i="8"/>
  <c r="BM5" i="8"/>
  <c r="BM8" i="8"/>
  <c r="BM13" i="8"/>
  <c r="BM14" i="8"/>
  <c r="BM42" i="8"/>
  <c r="BM43" i="8"/>
  <c r="BM16" i="8"/>
  <c r="BM44" i="8"/>
  <c r="BM45" i="8"/>
  <c r="BM17" i="8"/>
  <c r="BM20" i="8"/>
  <c r="BM21" i="8"/>
  <c r="BM23" i="8"/>
  <c r="BM24" i="8"/>
  <c r="BM25" i="8"/>
  <c r="BM26" i="8"/>
  <c r="BM27" i="8"/>
  <c r="BM28" i="8"/>
  <c r="BM29" i="8"/>
  <c r="BM79" i="8"/>
  <c r="BM30" i="8"/>
  <c r="BM31" i="8"/>
  <c r="BM22" i="8"/>
  <c r="BM80" i="8"/>
  <c r="BM32" i="8"/>
  <c r="BM51" i="8"/>
  <c r="BM46" i="8"/>
  <c r="BM47" i="8"/>
  <c r="BM33" i="8"/>
  <c r="BM34" i="8"/>
  <c r="BM50" i="8"/>
  <c r="BM35" i="8"/>
  <c r="BM36" i="8"/>
  <c r="BM37" i="8"/>
  <c r="BM39" i="8"/>
  <c r="BM40" i="8"/>
  <c r="BM48" i="8"/>
  <c r="BM49" i="8"/>
  <c r="BM52" i="8"/>
  <c r="BM53" i="8"/>
  <c r="BM54" i="8"/>
  <c r="BM55" i="8"/>
  <c r="BM56" i="8"/>
  <c r="BM57" i="8"/>
  <c r="BM58" i="8"/>
  <c r="BM59" i="8"/>
  <c r="BM60" i="8"/>
  <c r="BM61" i="8"/>
  <c r="BM62" i="8"/>
  <c r="BM63" i="8"/>
  <c r="BM64" i="8"/>
  <c r="BM65" i="8"/>
  <c r="BM66" i="8"/>
  <c r="BM67" i="8"/>
  <c r="BM68" i="8"/>
  <c r="BM69" i="8"/>
  <c r="BM70" i="8"/>
  <c r="BM71" i="8"/>
  <c r="BM72" i="8"/>
  <c r="BM73" i="8"/>
  <c r="BM74" i="8"/>
  <c r="BM75" i="8"/>
  <c r="BM76" i="8"/>
  <c r="BM77" i="8"/>
  <c r="BM78" i="8"/>
  <c r="BM81" i="8"/>
  <c r="BM82" i="8"/>
  <c r="BM83" i="8"/>
  <c r="BM84" i="8"/>
  <c r="BM18" i="8"/>
  <c r="AZ12" i="8"/>
  <c r="BA12" i="8"/>
  <c r="AW12" i="8"/>
  <c r="AV12" i="8"/>
  <c r="AR12" i="8"/>
  <c r="AS12" i="8"/>
  <c r="AJ12" i="8"/>
  <c r="AK12" i="8"/>
  <c r="BM6" i="8"/>
  <c r="BE12" i="8"/>
  <c r="BD12" i="8"/>
  <c r="AN12" i="8"/>
  <c r="AO12" i="8"/>
  <c r="AF12" i="8"/>
  <c r="AG12" i="8"/>
  <c r="Y12" i="8"/>
  <c r="BO8" i="8"/>
  <c r="BN8" i="8"/>
  <c r="BN13" i="8"/>
  <c r="BO13" i="8"/>
  <c r="BO14" i="8"/>
  <c r="BN14" i="8"/>
  <c r="BO42" i="8"/>
  <c r="BN42" i="8"/>
  <c r="BO43" i="8"/>
  <c r="BN43" i="8"/>
  <c r="BO16" i="8"/>
  <c r="BN16" i="8"/>
  <c r="BO44" i="8"/>
  <c r="BN44" i="8"/>
  <c r="BN45" i="8"/>
  <c r="BO45" i="8"/>
  <c r="BO17" i="8"/>
  <c r="BN17" i="8"/>
  <c r="BN20" i="8"/>
  <c r="BO20" i="8"/>
  <c r="BN21" i="8"/>
  <c r="BO21" i="8"/>
  <c r="BO23" i="8"/>
  <c r="BN23" i="8"/>
  <c r="BN24" i="8"/>
  <c r="BO24" i="8"/>
  <c r="BN25" i="8"/>
  <c r="BO25" i="8"/>
  <c r="BN26" i="8"/>
  <c r="BO26" i="8"/>
  <c r="BN27" i="8"/>
  <c r="BO27" i="8"/>
  <c r="BN28" i="8"/>
  <c r="BO28" i="8"/>
  <c r="BN29" i="8"/>
  <c r="BO29" i="8"/>
  <c r="BO79" i="8"/>
  <c r="BN79" i="8"/>
  <c r="BN30" i="8"/>
  <c r="BO30" i="8"/>
  <c r="BN31" i="8"/>
  <c r="BO31" i="8"/>
  <c r="BN22" i="8"/>
  <c r="BO22" i="8"/>
  <c r="BN80" i="8"/>
  <c r="BO80" i="8"/>
  <c r="BN32" i="8"/>
  <c r="BO32" i="8"/>
  <c r="BN51" i="8"/>
  <c r="BO51" i="8"/>
  <c r="BN46" i="8"/>
  <c r="BO46" i="8"/>
  <c r="BO47" i="8"/>
  <c r="BN47" i="8"/>
  <c r="BN33" i="8"/>
  <c r="BO33" i="8"/>
  <c r="BN34" i="8"/>
  <c r="BO34" i="8"/>
  <c r="BO50" i="8"/>
  <c r="BN50" i="8"/>
  <c r="BO35" i="8"/>
  <c r="BN35" i="8"/>
  <c r="BO36" i="8"/>
  <c r="BN36" i="8"/>
  <c r="BO37" i="8"/>
  <c r="BN37" i="8"/>
  <c r="BO39" i="8"/>
  <c r="BN39" i="8"/>
  <c r="BO40" i="8"/>
  <c r="BN40" i="8"/>
  <c r="BN48" i="8"/>
  <c r="BO48" i="8"/>
  <c r="BO49" i="8"/>
  <c r="BN49" i="8"/>
  <c r="BO52" i="8"/>
  <c r="BN52" i="8"/>
  <c r="BO53" i="8"/>
  <c r="BN53" i="8"/>
  <c r="BO54" i="8"/>
  <c r="BN54" i="8"/>
  <c r="BO55" i="8"/>
  <c r="BN55" i="8"/>
  <c r="BO56" i="8"/>
  <c r="BN56" i="8"/>
  <c r="BN57" i="8"/>
  <c r="BO57" i="8"/>
  <c r="BN58" i="8"/>
  <c r="BO58" i="8"/>
  <c r="BO59" i="8"/>
  <c r="BN59" i="8"/>
  <c r="BN60" i="8"/>
  <c r="BO60" i="8"/>
  <c r="BO61" i="8"/>
  <c r="BN61" i="8"/>
  <c r="BO62" i="8"/>
  <c r="BN62" i="8"/>
  <c r="BO63" i="8"/>
  <c r="BN63" i="8"/>
  <c r="BO64" i="8"/>
  <c r="BN64" i="8"/>
  <c r="BO65" i="8"/>
  <c r="BN65" i="8"/>
  <c r="BO66" i="8"/>
  <c r="BN66" i="8"/>
  <c r="BN67" i="8"/>
  <c r="BO67" i="8"/>
  <c r="BO68" i="8"/>
  <c r="BN68" i="8"/>
  <c r="BO69" i="8"/>
  <c r="BN69" i="8"/>
  <c r="BO70" i="8"/>
  <c r="BN70" i="8"/>
  <c r="BN71" i="8"/>
  <c r="BO71" i="8"/>
  <c r="BN72" i="8"/>
  <c r="BO72" i="8"/>
  <c r="BO73" i="8"/>
  <c r="BN73" i="8"/>
  <c r="BN74" i="8"/>
  <c r="BO74" i="8"/>
  <c r="BN75" i="8"/>
  <c r="BO75" i="8"/>
  <c r="BN76" i="8"/>
  <c r="BO76" i="8"/>
  <c r="BO77" i="8"/>
  <c r="BN77" i="8"/>
  <c r="BN78" i="8"/>
  <c r="BO78" i="8"/>
  <c r="BO81" i="8"/>
  <c r="BN81" i="8"/>
  <c r="BN82" i="8"/>
  <c r="BO82" i="8"/>
  <c r="BN83" i="8"/>
  <c r="BO83" i="8"/>
  <c r="BN84" i="8"/>
  <c r="BO84" i="8"/>
  <c r="BN18" i="8"/>
  <c r="BO18" i="8"/>
  <c r="BH12" i="8"/>
  <c r="P12" i="8"/>
  <c r="Q12" i="8"/>
  <c r="BM11" i="8"/>
  <c r="BO11" i="8"/>
  <c r="BN11" i="8"/>
  <c r="BM10" i="8"/>
  <c r="BO10" i="8"/>
  <c r="BN10" i="8"/>
  <c r="BM38" i="8"/>
  <c r="BO38" i="8"/>
  <c r="BN38" i="8"/>
  <c r="BM9" i="8"/>
  <c r="BO9" i="8"/>
  <c r="BN9" i="8"/>
  <c r="BM7" i="8"/>
  <c r="BO7" i="8"/>
  <c r="BN7" i="8"/>
  <c r="BO6" i="8"/>
  <c r="BN6" i="8"/>
  <c r="BN4" i="8"/>
  <c r="BO4" i="8"/>
  <c r="BO5" i="8"/>
  <c r="BN5" i="8"/>
  <c r="BN5" i="7"/>
  <c r="BO5" i="7" s="1"/>
  <c r="BN9" i="7"/>
  <c r="BO9" i="7" s="1"/>
  <c r="BN13" i="7"/>
  <c r="BO13" i="7" s="1"/>
  <c r="BN16" i="7"/>
  <c r="BO16" i="7" s="1"/>
  <c r="BN18" i="7"/>
  <c r="BO18" i="7" s="1"/>
  <c r="BN20" i="7"/>
  <c r="BO20" i="7" s="1"/>
  <c r="BN22" i="7"/>
  <c r="BO22" i="7" s="1"/>
  <c r="BN26" i="7"/>
  <c r="BO26" i="7" s="1"/>
  <c r="BN14" i="7"/>
  <c r="BO14" i="7" s="1"/>
  <c r="BN10" i="7"/>
  <c r="BO10" i="7" s="1"/>
  <c r="BN6" i="7"/>
  <c r="BN8" i="7"/>
  <c r="BO8" i="7" s="1"/>
  <c r="BN12" i="7"/>
  <c r="BO12" i="7" s="1"/>
  <c r="BN17" i="7"/>
  <c r="BO17" i="7" s="1"/>
  <c r="BN21" i="7"/>
  <c r="BO21" i="7" s="1"/>
  <c r="BN25" i="7"/>
  <c r="BO25" i="7" s="1"/>
  <c r="BN7" i="7"/>
  <c r="BN11" i="7"/>
  <c r="BN24" i="7"/>
  <c r="BO24" i="7" s="1"/>
  <c r="BN4" i="7"/>
  <c r="BN15" i="7"/>
  <c r="BO15" i="7" s="1"/>
  <c r="BN19" i="7"/>
  <c r="BO19" i="7" s="1"/>
  <c r="BN23" i="7"/>
  <c r="BO23" i="7" s="1"/>
  <c r="BL6" i="7"/>
  <c r="BM6" i="7"/>
  <c r="BL5" i="7"/>
  <c r="BM5" i="7"/>
  <c r="BL7" i="7"/>
  <c r="BM7" i="7"/>
  <c r="BL4" i="7"/>
  <c r="BM4" i="7"/>
  <c r="BM8" i="7"/>
  <c r="BL8" i="7"/>
  <c r="BL9" i="7"/>
  <c r="BM9" i="7"/>
  <c r="BL10" i="7"/>
  <c r="BM10" i="7"/>
  <c r="BL26" i="7"/>
  <c r="BM26" i="7"/>
  <c r="BL11" i="7"/>
  <c r="BM11" i="7"/>
  <c r="BM12" i="7"/>
  <c r="BL12" i="7"/>
  <c r="BL13" i="7"/>
  <c r="BM13" i="7"/>
  <c r="BL14" i="7"/>
  <c r="BM14" i="7"/>
  <c r="BL15" i="7"/>
  <c r="BM15" i="7"/>
  <c r="BM16" i="7"/>
  <c r="BL16" i="7"/>
  <c r="BL17" i="7"/>
  <c r="BM17" i="7"/>
  <c r="BM18" i="7"/>
  <c r="BL18" i="7"/>
  <c r="BL19" i="7"/>
  <c r="BM19" i="7"/>
  <c r="BL20" i="7"/>
  <c r="BM20" i="7"/>
  <c r="BM21" i="7"/>
  <c r="BL21" i="7"/>
  <c r="BL22" i="7"/>
  <c r="BM22" i="7"/>
  <c r="BM23" i="7"/>
  <c r="BL23" i="7"/>
  <c r="BL24" i="7"/>
  <c r="BM24" i="7"/>
  <c r="BL25" i="7"/>
  <c r="BM25" i="7"/>
  <c r="BO7" i="7" l="1"/>
  <c r="BO11" i="7"/>
  <c r="BL12" i="8"/>
  <c r="BL15" i="8"/>
  <c r="BM15" i="8"/>
  <c r="BO15" i="8"/>
  <c r="BN15" i="8"/>
  <c r="BN12" i="8"/>
  <c r="BO12" i="8"/>
  <c r="BM12" i="8"/>
  <c r="BO6" i="7"/>
  <c r="BO4" i="7"/>
</calcChain>
</file>

<file path=xl/sharedStrings.xml><?xml version="1.0" encoding="utf-8"?>
<sst xmlns="http://schemas.openxmlformats.org/spreadsheetml/2006/main" count="1200" uniqueCount="311">
  <si>
    <t>Área</t>
  </si>
  <si>
    <t>Infraestrutura</t>
  </si>
  <si>
    <t>Software e Licenças</t>
  </si>
  <si>
    <t>Redes e Conectividade</t>
  </si>
  <si>
    <t>Service Desk e Suporte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</si>
  <si>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</si>
  <si>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</si>
  <si>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</si>
  <si>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</si>
  <si>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</si>
  <si>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</si>
  <si>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</si>
  <si>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</si>
  <si>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</si>
  <si>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</si>
  <si>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</si>
  <si>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</si>
  <si>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Categoria Macro</t>
  </si>
  <si>
    <t>Consultoria e Serviços Especializados</t>
  </si>
  <si>
    <t>Treinamento e Capacitação</t>
  </si>
  <si>
    <t>ORÇAMENTO ANUAL DE TI 2025 — BASE CAPEX — INVESTIMENTOS</t>
  </si>
  <si>
    <t>TOTAIS ANUAIS</t>
  </si>
  <si>
    <t>Ano</t>
  </si>
  <si>
    <t>Centro de Custo</t>
  </si>
  <si>
    <t>Subcategoria</t>
  </si>
  <si>
    <t>Descrição do Item</t>
  </si>
  <si>
    <t>Fornecedor</t>
  </si>
  <si>
    <t>Responsável</t>
  </si>
  <si>
    <t>Natureza</t>
  </si>
  <si>
    <t>Projeto / Iniciativa</t>
  </si>
  <si>
    <t>Status</t>
  </si>
  <si>
    <t>Observação / Justificativa</t>
  </si>
  <si>
    <t>Orçado
Jan</t>
  </si>
  <si>
    <t>Realizado
Jan</t>
  </si>
  <si>
    <t>Delta
Jan</t>
  </si>
  <si>
    <t>% Delta
Jan</t>
  </si>
  <si>
    <t>Orçado
Fev</t>
  </si>
  <si>
    <t>Realizado
Fev</t>
  </si>
  <si>
    <t>Delta
Fev</t>
  </si>
  <si>
    <t>% Delta
Fev</t>
  </si>
  <si>
    <t>Orçado
Mar</t>
  </si>
  <si>
    <t>Realizado
Mar</t>
  </si>
  <si>
    <t>Delta
Mar</t>
  </si>
  <si>
    <t>% Delta
Mar</t>
  </si>
  <si>
    <t>Orçado
Abr</t>
  </si>
  <si>
    <t>Realizado
Abr</t>
  </si>
  <si>
    <t>Delta
Abr</t>
  </si>
  <si>
    <t>% Delta
Abr</t>
  </si>
  <si>
    <t>Orçado
Mai</t>
  </si>
  <si>
    <t>Realizado
Mai</t>
  </si>
  <si>
    <t>Delta
Mai</t>
  </si>
  <si>
    <t>% Delta
Mai</t>
  </si>
  <si>
    <t>Orçado
Jun</t>
  </si>
  <si>
    <t>Realizado
Jun</t>
  </si>
  <si>
    <t>Delta
Jun</t>
  </si>
  <si>
    <t>% Delta
Jun</t>
  </si>
  <si>
    <t>Orçado
Jul</t>
  </si>
  <si>
    <t>Realizado
Jul</t>
  </si>
  <si>
    <t>Delta
Jul</t>
  </si>
  <si>
    <t>% Delta
Jul</t>
  </si>
  <si>
    <t>Orçado
Ago</t>
  </si>
  <si>
    <t>Realizado
Ago</t>
  </si>
  <si>
    <t>Delta
Ago</t>
  </si>
  <si>
    <t>% Delta
Ago</t>
  </si>
  <si>
    <t>Orçado
Set</t>
  </si>
  <si>
    <t>Realizado
Set</t>
  </si>
  <si>
    <t>Delta
Set</t>
  </si>
  <si>
    <t>% Delta
Set</t>
  </si>
  <si>
    <t>Orçado
Out</t>
  </si>
  <si>
    <t>Realizado
Out</t>
  </si>
  <si>
    <t>Delta
Out</t>
  </si>
  <si>
    <t>% Delta
Out</t>
  </si>
  <si>
    <t>Orçado
Nov</t>
  </si>
  <si>
    <t>Realizado
Nov</t>
  </si>
  <si>
    <t>Delta
Nov</t>
  </si>
  <si>
    <t>% Delta
Nov</t>
  </si>
  <si>
    <t>Orçado
Dez</t>
  </si>
  <si>
    <t>Realizado
Dez</t>
  </si>
  <si>
    <t>Delta
Dez</t>
  </si>
  <si>
    <t>% Delta
Dez</t>
  </si>
  <si>
    <t>Total Orçado
Ano</t>
  </si>
  <si>
    <t>Total Realizado
Ano</t>
  </si>
  <si>
    <t>Total Delta
Ano</t>
  </si>
  <si>
    <t>% Delta
Ano</t>
  </si>
  <si>
    <t>Total
Comprometido</t>
  </si>
  <si>
    <t>Total
Forecast</t>
  </si>
  <si>
    <t>Fixa</t>
  </si>
  <si>
    <t>Fechado</t>
  </si>
  <si>
    <t>Aberto</t>
  </si>
  <si>
    <t>ORÇAMENTO ANUAL DE TI 2025 — BASE OPEX — DESPESAS OPERACIONAIS</t>
  </si>
  <si>
    <t>Revisado</t>
  </si>
  <si>
    <t>Impressoras</t>
  </si>
  <si>
    <t>Tecnologia da Informação</t>
  </si>
  <si>
    <t>CC-704 Tecnologia da Informação</t>
  </si>
  <si>
    <t>ADOBE</t>
  </si>
  <si>
    <t>Guilherme Silveira</t>
  </si>
  <si>
    <t>Continuidade</t>
  </si>
  <si>
    <t>TOTVS</t>
  </si>
  <si>
    <t>ATLASSIAN</t>
  </si>
  <si>
    <t>AXUR</t>
  </si>
  <si>
    <t>TD SYNNEX</t>
  </si>
  <si>
    <t>BOLOFORMS</t>
  </si>
  <si>
    <t>Check list caminhões (Depto  frtoas)</t>
  </si>
  <si>
    <t>CANVA</t>
  </si>
  <si>
    <t>TOP CODE</t>
  </si>
  <si>
    <t>OPEN IA</t>
  </si>
  <si>
    <t>COREL DRAW SUITE</t>
  </si>
  <si>
    <t>BOXWARE</t>
  </si>
  <si>
    <t>Serviço Klauman para ambiente de servidores Questor e File Server legado</t>
  </si>
  <si>
    <t>Easy Job</t>
  </si>
  <si>
    <t>GITHUB</t>
  </si>
  <si>
    <t>GOOGLE</t>
  </si>
  <si>
    <t>HOSTING MACHINE</t>
  </si>
  <si>
    <t>TREND</t>
  </si>
  <si>
    <t>MIRO</t>
  </si>
  <si>
    <t>Salesforce</t>
  </si>
  <si>
    <t>SOLARWINDS</t>
  </si>
  <si>
    <t>PIPEFY</t>
  </si>
  <si>
    <t>ERP Legado</t>
  </si>
  <si>
    <t>New Norte</t>
  </si>
  <si>
    <t>CONVISO</t>
  </si>
  <si>
    <t>TEAMVIEWER</t>
  </si>
  <si>
    <t>THINKCELL</t>
  </si>
  <si>
    <t>IDENTIFICAR</t>
  </si>
  <si>
    <t>UAPPI</t>
  </si>
  <si>
    <t>ZEBRA</t>
  </si>
  <si>
    <t>Categoria de Serviços na planilha do Planejamento Financeiro, corrigir com eles 17-03 verificado Paulo/Gui</t>
  </si>
  <si>
    <t>Treinamento / Curso</t>
  </si>
  <si>
    <t>VIVO</t>
  </si>
  <si>
    <t>NÃO DEFINIDO</t>
  </si>
  <si>
    <t>FOCAL DATA</t>
  </si>
  <si>
    <t>CLAVIS</t>
  </si>
  <si>
    <t>Ferramenta de SOC / SIEM</t>
  </si>
  <si>
    <t>KZS TECH</t>
  </si>
  <si>
    <t>DLP ( SYSDATA)</t>
  </si>
  <si>
    <t>ELYTRON</t>
  </si>
  <si>
    <t>NERUS</t>
  </si>
  <si>
    <t>QUALLIT</t>
  </si>
  <si>
    <t>COFFE BREAK</t>
  </si>
  <si>
    <t>ASSINATURA/MANUTENÇÃO DE SISTEMAS DE SOFTWARES</t>
  </si>
  <si>
    <t>CURSOS E TREINAMENTOS</t>
  </si>
  <si>
    <t>INTERNET/TELECOMUNICACAO</t>
  </si>
  <si>
    <t>MANUTENCAO DE EQUIPAMENTOS PROCESSAMENTO DE DADOS</t>
  </si>
  <si>
    <t>SERVICOS DE TERCEIROS</t>
  </si>
  <si>
    <t>VIAGENS E ESTADIAS</t>
  </si>
  <si>
    <t>ROIT</t>
  </si>
  <si>
    <t>Projeto Wms / Wcs (Shaefer)</t>
  </si>
  <si>
    <t>SERVICOS PROFISSIONAIS BACKUP</t>
  </si>
  <si>
    <t>SERVICOS PROFISSIONAIS SERVIDORES</t>
  </si>
  <si>
    <t>Compra de Equipamentos de TI</t>
  </si>
  <si>
    <t>Compra de Equipamentos de TI Substituição de equipamentos obsoletos</t>
  </si>
  <si>
    <t>Access Point</t>
  </si>
  <si>
    <t>Aquisiçao de Máquinas</t>
  </si>
  <si>
    <t>Atualizaçao de parque</t>
  </si>
  <si>
    <t>Projeto - Invoice to Pay - Setup</t>
  </si>
  <si>
    <t>Servidor Dell Poweredge R660 - Primário</t>
  </si>
  <si>
    <t>Storage Dell Powervault Me5024 5X Ssd 1.92Tb - Primário</t>
  </si>
  <si>
    <t>Servidor Dell Poweredge R660 - Secundário</t>
  </si>
  <si>
    <t>Storage Dell Powervault Me5024 5X Ssd 1.92Tb - Secundário</t>
  </si>
  <si>
    <t>Windows Server 2025 Standard - 2 Core</t>
  </si>
  <si>
    <t>Ware Vsphere Standard 8</t>
  </si>
  <si>
    <t>Veeam Data Platform Essentials Universal Subscription License</t>
  </si>
  <si>
    <t>Veeam Data Cloud Vault Advanced For Azure 1 Tb</t>
  </si>
  <si>
    <t>Switches DC Principal</t>
  </si>
  <si>
    <t>Switches DC Secundário</t>
  </si>
  <si>
    <t>Switch Acesso</t>
  </si>
  <si>
    <t>Switch Distribuiçao</t>
  </si>
  <si>
    <t>Coletor de mão</t>
  </si>
  <si>
    <t>Infraestrutura de Fibra</t>
  </si>
  <si>
    <t>Projeto SAC AI</t>
  </si>
  <si>
    <t>Projeto Adequação Galpão G07 - 10 Aps</t>
  </si>
  <si>
    <t>Projeto Wms / Wcs (Shaefer) - 30 Aps</t>
  </si>
  <si>
    <t>Falta Descrição</t>
  </si>
  <si>
    <t>Tecnologia</t>
  </si>
  <si>
    <t>Controladoria</t>
  </si>
  <si>
    <t>Operação</t>
  </si>
  <si>
    <t>SAC</t>
  </si>
  <si>
    <t>Acrobat Pro</t>
  </si>
  <si>
    <t>After Effects</t>
  </si>
  <si>
    <t>Alura / Udemy</t>
  </si>
  <si>
    <t>App Meu RH</t>
  </si>
  <si>
    <t>Atlassian (Jira, Confluence, Management)</t>
  </si>
  <si>
    <t>Axur</t>
  </si>
  <si>
    <t>Azure - BI</t>
  </si>
  <si>
    <t>Boloforms</t>
  </si>
  <si>
    <t>Canva</t>
  </si>
  <si>
    <t>Certificado Digital</t>
  </si>
  <si>
    <t>Chatgpt</t>
  </si>
  <si>
    <t>Clavis</t>
  </si>
  <si>
    <t>Corel Draw</t>
  </si>
  <si>
    <t>Cursor (IDE com IA) PRO</t>
  </si>
  <si>
    <t>Defender for Endpoints (P1)</t>
  </si>
  <si>
    <t>Elytron</t>
  </si>
  <si>
    <t>Entra ID P1</t>
  </si>
  <si>
    <t>Exchange Online P1</t>
  </si>
  <si>
    <t>Exchange Online P2</t>
  </si>
  <si>
    <t>Fortiems ZTNA</t>
  </si>
  <si>
    <t>Github</t>
  </si>
  <si>
    <t>Google Cloud</t>
  </si>
  <si>
    <t>Google Workspace</t>
  </si>
  <si>
    <t>Hosting Machine</t>
  </si>
  <si>
    <t>Illustrator</t>
  </si>
  <si>
    <t>Indesign</t>
  </si>
  <si>
    <t>Intera Backoffice: Quarteto</t>
  </si>
  <si>
    <t>Intera BO: Fiscal + Ativo Fixo</t>
  </si>
  <si>
    <t>Intera Garantia Estendida 2210</t>
  </si>
  <si>
    <t>Intera RH: Folha E Ponto</t>
  </si>
  <si>
    <t>Intune P1</t>
  </si>
  <si>
    <t>Licenças Usuários - Protheus (Adicional Intera)</t>
  </si>
  <si>
    <t>MDM Urmobo</t>
  </si>
  <si>
    <t>Microsoft 365 Apps For Enterprise</t>
  </si>
  <si>
    <t>Microsoft 365 F1</t>
  </si>
  <si>
    <t>Microsoft 365 F3</t>
  </si>
  <si>
    <t>Microsoft Business Premium</t>
  </si>
  <si>
    <t>Microsoft Fabric Free</t>
  </si>
  <si>
    <t>Microsoft Teams Enterprise</t>
  </si>
  <si>
    <t>Miro</t>
  </si>
  <si>
    <t>Mulesoft</t>
  </si>
  <si>
    <t>Não Definido (35000oneshot)</t>
  </si>
  <si>
    <t>Não Definido (87800mes)</t>
  </si>
  <si>
    <t>Não Definido (9000mes)</t>
  </si>
  <si>
    <t>Nerus</t>
  </si>
  <si>
    <t>Photoshop</t>
  </si>
  <si>
    <t>Pipefy</t>
  </si>
  <si>
    <t>Power BI Premium Per User</t>
  </si>
  <si>
    <t>Power BI Pro</t>
  </si>
  <si>
    <t>Qualitt</t>
  </si>
  <si>
    <t>Questor (New Norte)</t>
  </si>
  <si>
    <t>SIEM (MS Sentinel)</t>
  </si>
  <si>
    <t>Site Blindado</t>
  </si>
  <si>
    <t>Teamviewer</t>
  </si>
  <si>
    <t>Thinkcell</t>
  </si>
  <si>
    <t>Totvs</t>
  </si>
  <si>
    <t>Totvs Enterprise</t>
  </si>
  <si>
    <t>Uappi</t>
  </si>
  <si>
    <t>Visio (P2)</t>
  </si>
  <si>
    <t>Workshops Com Time</t>
  </si>
  <si>
    <t>Zebra</t>
  </si>
  <si>
    <t>Copilot</t>
  </si>
  <si>
    <t>My Pingdom</t>
  </si>
  <si>
    <t>Creative Cloud</t>
  </si>
  <si>
    <t>Consultoria Mulesoft - KZS Tech</t>
  </si>
  <si>
    <t>Manutenção</t>
  </si>
  <si>
    <t>Monitoramento (NOC) - Clavis</t>
  </si>
  <si>
    <t>Telecom Móvel</t>
  </si>
  <si>
    <t>Workshop De Design Sprint Com Lideranças</t>
  </si>
  <si>
    <t>Renovação 10/12/2026</t>
  </si>
  <si>
    <t>Manutenção de Equipamentos</t>
  </si>
  <si>
    <t>Suporte Técnico</t>
  </si>
  <si>
    <t>Não tinha orçamento</t>
  </si>
  <si>
    <t>Diversos</t>
  </si>
  <si>
    <t>Eventos de Tecnologia</t>
  </si>
  <si>
    <t>Sistema de IA para Desenvolvimento</t>
  </si>
  <si>
    <t>Lake MS (Azure BI)</t>
  </si>
  <si>
    <t>Antigo nome da linha (Fabric Capacity Escala para F4)</t>
  </si>
  <si>
    <t>Consultoria para plano PCN</t>
  </si>
  <si>
    <t>Projeto SSI Schaefer</t>
  </si>
  <si>
    <t>SSI Schaefer</t>
  </si>
  <si>
    <t>Linha Contábil</t>
  </si>
  <si>
    <t>Linha contábil</t>
  </si>
  <si>
    <t>Estava descrito como Inovação</t>
  </si>
  <si>
    <t>Consultoria</t>
  </si>
  <si>
    <t>ok</t>
  </si>
  <si>
    <t>STATUS2</t>
  </si>
  <si>
    <t>Internet/Telecom</t>
  </si>
  <si>
    <t>Operadoras</t>
  </si>
  <si>
    <t>Colocar a quantidade de linhas que temos atualmente na descrição do item</t>
  </si>
  <si>
    <t>Algar, Unifique, Unetvale, Vivo ADSL</t>
  </si>
  <si>
    <t>07/04/2025 - Orçamento de Jira tem estourado mês a mês, precisamos entender se a Linha Contábil está estoutrando</t>
  </si>
  <si>
    <t>07/04/2026 - Tratar o saving de R$657,00</t>
  </si>
  <si>
    <t>Take Down dos Sites</t>
  </si>
  <si>
    <t>Considerando Dolar R$5,40, boletim FOCUS, o orçado foi feito em dolar, porém o realizado está em reais</t>
  </si>
  <si>
    <t>07/04/2026 - validar linha compensatória ou validar se estamos estourando a linha contábil ASSINATURA/MANUTENÇÃO DE SISTEMAS DE SOFTWARES, incrementar na lista da Mileny</t>
  </si>
  <si>
    <t>Projeto</t>
  </si>
  <si>
    <t>07/04/2026 - Consolidado em uma única linha Clavis (existe na planilha Mileny)</t>
  </si>
  <si>
    <t>07/04/2026 - Consolidado em uma única linha Clavis (não existe na planilha Mileny)</t>
  </si>
  <si>
    <t>07/04/2026 - Temos orçamento mas não aparece na planilha da Mileny</t>
  </si>
  <si>
    <t>07/04/2026 - ok</t>
  </si>
  <si>
    <t>07/04/2026 - MANUTENCAO DE EQUIPAMENTOS PROCESSAMENTO DE DADOS</t>
  </si>
  <si>
    <t>07/04/2026 - para o mês de fevereiro é o valor com base na planilha da Mileny, não corresponde nossa planilha de controle de pagamentos</t>
  </si>
  <si>
    <t>Treinamentos</t>
  </si>
  <si>
    <t>07/04/2026 - não realizamos o forecast do saving ainda - pendente distribuidr o saving de jan,fev,mar para frente pendente confirmação dos valores de jan/fev/mar</t>
  </si>
  <si>
    <t>07/04/2025 - Orçamento de Google tem estourado mês a mês, precisamos entender se a Linha Contábil está estoutrando</t>
  </si>
  <si>
    <t>RENOVAÇÃO</t>
  </si>
  <si>
    <t>07/04/2026 - temos um saving de 71250,00 e aguardar Abril para dividir esse valor para os proximos meses</t>
  </si>
  <si>
    <t xml:space="preserve">07/04/2025 - Orçamento de Google tem estourado mês a mês, precisamos entender se a Linha Contábil está estoutrando:
planos de ações que tenho aqui:
Monitorar o faturamento após a equipe de BI migrar a parte deles pra Microsoft, ainda está sendo usado aqui processamento do bigquery
Analisar as tabelas existentes que não estão particionadas e melhorar o desempenho delas
Desabilitar tabelas que não estão sendo usadas
Desenvolver projetos em BI com rotina de atualização pra evitar que os usuários aqui rodem consultas em vários horarios do dia
 </t>
  </si>
  <si>
    <t>07/04/2026 - RENOVAÇÃO DO SERVIDOR DIA 05/06/2026 - não temos orçamento nessa linha, previsão de gastos: ~24k</t>
  </si>
  <si>
    <t>07/04/2026 - RENOVAÇÃO 10/07/2026</t>
  </si>
  <si>
    <t>07/04/2026 - temos um saving de 4.800,00! Orçado de janeiro a junho 800,00 foram transferidos para julho em diante  ficando 1,600</t>
  </si>
  <si>
    <t>08/04/2026 - Workshop de Inovação - provisionado de janeiro para julho</t>
  </si>
  <si>
    <t>08/04/2026 - Tínhamos nessa linha R$87.800,00 que não estavam definidos, em conversa com o Adriano, identificamos 52.800 era da consultoria do PCN, esse valor já está na linha da Clavis, e 35k do Arquiteto de Soluções</t>
  </si>
  <si>
    <t>08/04/2026 - Avaliar realizado de abril para ver se vai estourar, precisamos identificar o por que está aumentando o valor</t>
  </si>
  <si>
    <t>07/04/2026 - Fizemos o forecast de junho a dezembro com o resíduo de janeiro a maio (R$6.857,58)</t>
  </si>
  <si>
    <t>08/04/2026 - Orçado 53492,00 de janeiro a dezembro, provisionamos os deltas de janeiro a junho para julho em diante, Nerus foi descontinuado</t>
  </si>
  <si>
    <t>08/04/2026 - Está estourando</t>
  </si>
  <si>
    <t>08/04/2026 - Delta de Fevereiro provisionado em maio valor 4847,00</t>
  </si>
  <si>
    <t>08/04/2025 - Quallit 2.7K de Entra ID Suporte, em Fevereiro SQL Banco do MuleSoft 2.6K, TS do Protheus em Abril 1.6K</t>
  </si>
  <si>
    <t>Antigo nome AZURE API MANAGEMENT (APIM) – PREMIUM - Valores orçados foram provisionados na linha 48 Mule soft 15.680,00</t>
  </si>
  <si>
    <t>Antigo nome Defender for APIs - Valores orçados foram provisionados na linha 48 Mule soft 8,00</t>
  </si>
  <si>
    <t>Antigo nome Event Grid (Opicional) - Valores orçados foram provisionados na linha 48 Mule soft 1.600,00</t>
  </si>
  <si>
    <t>Antigo nome Log Analytics - Valores orçados foram provisionados na linha 48 Mule soft 185,00</t>
  </si>
  <si>
    <t>Antigo nome FRONT DOOR STANDARD + WAF (PARA 100 GB/MÊS DE TRÁFEGO) - Valores orçados foram provisionados na linha 48 Mule soft  224,00</t>
  </si>
  <si>
    <t>Antigo nome LOGIC APPS CONSUMPTION - Valores orçados foram provisionados na linha 48 Mule soft  140,00</t>
  </si>
  <si>
    <t>Antigo nome Azure Functions - Valores orçados foram provisionados na linha 48 Mule soft  2,00</t>
  </si>
  <si>
    <t>08/04/2026 - de Fev a Dez 2026 9K. É Schaefer, pois está na planilha da Mileny. Fizemos o forecast com o saving das linhas de fevereiro a junho para os meses de julho a dezembro (Saving 45k/6meses=7,5K)</t>
  </si>
  <si>
    <t>08/04/2026 - Gui colocar os valores do realizado no cartão mês a mês</t>
  </si>
  <si>
    <t>08/04/2026 - 7.5K de Azure BI + 5.6k Fabric Capacity Escala para F4 (fev a dez), feito a somatória a partir de fevereiro 13.1K</t>
  </si>
  <si>
    <t>07/04/2026 - Virou Clavis (até março tivemos pagamentos), tudo subiu para a linha da Clavis, inclusive os savings mensal de R$9983,00 de janeiro a março. Abril adezembro tivemos saving de 246104,00 provisionados a linha da Clavis</t>
  </si>
  <si>
    <t>07/04/2026 - somei tudo que temos da clavis (Clavis16K, DLP ( SYSDATA),SIEM (MS Sentinel)19K,Monitoramento (NOC) - Clavis 16K, Consultoria para plano PCN 52800K) + savings da linha ELYTRON total 246104 realizado forecast de julho a dezembro.
Contrato mensal de Soc SIEM - R$50.000,00 por mês
Contrato do PCN - 6 x R$18.410,24 a partir de maio</t>
  </si>
  <si>
    <t xml:space="preserve">Janeiro e fevereiro foram pagos pelo time de T.I. mas a linha estava no time da diretoria Executiva </t>
  </si>
  <si>
    <t>Fusão das linhas 41 à 47, pagamento trimestral orçados provisionados. Pagamento trimestral. Em Dezembro temos um saving de 18k das outras linhas que foram feito fusão.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</si>
</sst>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3" formatCode="_-* #,##0.00_-;\-* #,##0.00_-;_-* &quot;-&quot;??_-;_-@_-"/>
    <numFmt numFmtId="164" formatCode="0.0%;[Red]\-0.0%;\-"/>
  </numFmts>
  <fonts count="20" x14ac:knownFonts="1">
    <font>
      <sz val="11"/>
      <color theme="1"/>
      <name val="Calibri"/>
      <family val="2"/>
      <charset val="1"/>
    </font>
    <font>
      <sz val="9"/>
      <color rgb="FF000000"/>
      <name val="Calibri Light"/>
      <family val="2"/>
    </font>
    <font>
      <sz val="9"/>
      <color rgb="FF000000"/>
      <name val="Arial"/>
      <family val="2"/>
    </font>
    <font>
      <sz val="9"/>
      <color rgb="FF000099"/>
      <name val="Arial"/>
      <family val="2"/>
    </font>
    <font>
      <b/>
      <sz val="8"/>
      <color rgb="FFFFFFFF"/>
      <name val="Arial"/>
      <family val="2"/>
    </font>
    <font>
      <sz val="11"/>
      <color theme="0"/>
      <name val="Calibri"/>
      <family val="2"/>
      <charset val="1"/>
    </font>
    <font>
      <b/>
      <sz val="9"/>
      <color theme="0"/>
      <name val="Arial"/>
      <family val="2"/>
    </font>
    <font>
      <b/>
      <sz val="11"/>
      <color theme="0"/>
      <name val="Calibri"/>
      <family val="2"/>
      <charset val="1"/>
    </font>
    <font>
      <b/>
      <sz val="14"/>
      <color rgb="FFFFFFFF"/>
      <name val="Calibri Light"/>
      <family val="2"/>
    </font>
    <font>
      <sz val="11"/>
      <color theme="1"/>
      <name val="Calibri Light"/>
      <family val="2"/>
    </font>
    <font>
      <b/>
      <sz val="9"/>
      <color rgb="FFFFFFFF"/>
      <name val="Calibri Light"/>
      <family val="2"/>
    </font>
    <font>
      <b/>
      <sz val="8"/>
      <color rgb="FFFFFFFF"/>
      <name val="Calibri Light"/>
      <family val="2"/>
    </font>
    <font>
      <sz val="9"/>
      <color rgb="FF000000"/>
      <name val="Calibri Light"/>
      <family val="2"/>
    </font>
    <font>
      <sz val="9"/>
      <color rgb="FF000099"/>
      <name val="Calibri Light"/>
      <family val="2"/>
    </font>
    <font>
      <sz val="9"/>
      <color theme="1"/>
      <name val="Calibri Light"/>
      <family val="2"/>
    </font>
    <font>
      <sz val="9"/>
      <color rgb="FF000099"/>
      <name val="Calibri Light"/>
      <family val="2"/>
    </font>
    <font>
      <sz val="11"/>
      <color theme="1"/>
      <name val="Calibri"/>
      <family val="2"/>
      <charset val="1"/>
    </font>
    <font>
      <sz val="9"/>
      <color rgb="FF000000"/>
      <name val="Calibri Light"/>
      <family val="2"/>
    </font>
    <font>
      <sz val="9"/>
      <color theme="1"/>
      <name val="Calibri Light"/>
      <family val="2"/>
    </font>
    <font>
      <sz val="9"/>
      <color theme="1"/>
      <name val="Calibri Light"/>
    </font>
  </fonts>
  <fills count="15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1D6B36"/>
        <bgColor rgb="FF375623"/>
      </patternFill>
    </fill>
    <fill>
      <patternFill patternType="solid">
        <fgColor rgb="FF1F3864"/>
        <bgColor rgb="FF2E5496"/>
      </patternFill>
    </fill>
    <fill>
      <patternFill patternType="solid">
        <fgColor rgb="FF375623"/>
        <bgColor rgb="FF1D6B36"/>
      </patternFill>
    </fill>
    <fill>
      <patternFill patternType="solid">
        <fgColor rgb="FFC00000"/>
        <bgColor rgb="FF800000"/>
      </patternFill>
    </fill>
    <fill>
      <patternFill patternType="solid">
        <fgColor rgb="FFED7D31"/>
        <bgColor rgb="FFFF8080"/>
      </patternFill>
    </fill>
    <fill>
      <patternFill patternType="solid">
        <fgColor rgb="FF7030A0"/>
        <bgColor rgb="FF993366"/>
      </patternFill>
    </fill>
    <fill>
      <patternFill patternType="solid">
        <fgColor rgb="FF0070C0"/>
        <bgColor rgb="FF008080"/>
      </patternFill>
    </fill>
    <fill>
      <patternFill patternType="solid">
        <fgColor rgb="FF548235"/>
        <bgColor rgb="FF339966"/>
      </patternFill>
    </fill>
    <fill>
      <patternFill patternType="solid">
        <fgColor theme="3" tint="-0.249977111117893"/>
        <bgColor rgb="FF2E5496"/>
      </patternFill>
    </fill>
    <fill>
      <patternFill patternType="solid">
        <fgColor theme="3"/>
        <bgColor rgb="FF1F3864"/>
      </patternFill>
    </fill>
    <fill>
      <patternFill patternType="solid">
        <fgColor theme="3"/>
        <bgColor rgb="FF2E5496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C9C9C9"/>
      </left>
      <right style="thin">
        <color rgb="FFC9C9C9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C9C9C9"/>
      </bottom>
      <diagonal/>
    </border>
    <border>
      <left/>
      <right/>
      <top style="thin">
        <color theme="0"/>
      </top>
      <bottom/>
      <diagonal/>
    </border>
  </borders>
  <cellStyleXfs count="3">
    <xf numFmtId="0" fontId="0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</cellStyleXfs>
  <cellXfs count="89">
    <xf numFmtId="0" fontId="0" fillId="0" borderId="0" xfId="0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9" fillId="0" borderId="0" xfId="0" applyFont="1"/>
    <xf numFmtId="0" fontId="9" fillId="5" borderId="0" xfId="0" applyFont="1" applyFill="1"/>
    <xf numFmtId="0" fontId="11" fillId="5" borderId="0" xfId="0" applyFont="1" applyFill="1" applyAlignment="1">
      <alignment horizontal="center" vertical="center" wrapText="1"/>
    </xf>
    <xf numFmtId="0" fontId="11" fillId="10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4" fillId="0" borderId="0" xfId="0" applyFont="1"/>
    <xf numFmtId="0" fontId="9" fillId="5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43" fontId="13" fillId="0" borderId="0" xfId="1" applyFont="1" applyAlignment="1">
      <alignment horizontal="right" vertical="center"/>
    </xf>
    <xf numFmtId="43" fontId="14" fillId="0" borderId="0" xfId="1" applyFont="1"/>
    <xf numFmtId="43" fontId="12" fillId="0" borderId="0" xfId="1" applyFont="1" applyAlignment="1">
      <alignment horizontal="right" vertical="center"/>
    </xf>
    <xf numFmtId="43" fontId="1" fillId="0" borderId="0" xfId="1" applyFont="1" applyAlignment="1">
      <alignment horizontal="right" vertical="center"/>
    </xf>
    <xf numFmtId="43" fontId="11" fillId="10" borderId="0" xfId="1" applyFont="1" applyFill="1" applyAlignment="1">
      <alignment horizontal="center" vertical="center" wrapText="1"/>
    </xf>
    <xf numFmtId="43" fontId="11" fillId="3" borderId="0" xfId="1" applyFont="1" applyFill="1" applyAlignment="1">
      <alignment horizontal="center" vertical="center" wrapText="1"/>
    </xf>
    <xf numFmtId="43" fontId="11" fillId="6" borderId="0" xfId="1" applyFont="1" applyFill="1" applyAlignment="1">
      <alignment horizontal="center" vertical="center" wrapText="1"/>
    </xf>
    <xf numFmtId="43" fontId="2" fillId="0" borderId="0" xfId="1" applyFont="1" applyAlignment="1">
      <alignment horizontal="right" vertical="center"/>
    </xf>
    <xf numFmtId="43" fontId="9" fillId="0" borderId="0" xfId="1" applyFont="1"/>
    <xf numFmtId="43" fontId="15" fillId="0" borderId="0" xfId="1" applyFont="1" applyAlignment="1">
      <alignment horizontal="right" vertical="center"/>
    </xf>
    <xf numFmtId="9" fontId="11" fillId="7" borderId="0" xfId="2" applyFont="1" applyFill="1" applyAlignment="1">
      <alignment horizontal="center" vertical="center" wrapText="1"/>
    </xf>
    <xf numFmtId="9" fontId="12" fillId="0" borderId="0" xfId="2" applyFont="1" applyAlignment="1">
      <alignment horizontal="center" vertical="center" wrapText="1"/>
    </xf>
    <xf numFmtId="9" fontId="1" fillId="0" borderId="0" xfId="2" applyFont="1" applyAlignment="1">
      <alignment horizontal="center" vertical="center" wrapText="1"/>
    </xf>
    <xf numFmtId="9" fontId="9" fillId="0" borderId="0" xfId="2" applyFont="1"/>
    <xf numFmtId="9" fontId="12" fillId="0" borderId="0" xfId="2" applyFont="1" applyAlignment="1">
      <alignment horizontal="left" vertical="center"/>
    </xf>
    <xf numFmtId="9" fontId="2" fillId="0" borderId="0" xfId="2" applyFont="1" applyAlignment="1">
      <alignment horizontal="center" vertical="center"/>
    </xf>
    <xf numFmtId="43" fontId="3" fillId="0" borderId="0" xfId="1" applyFont="1" applyAlignment="1">
      <alignment horizontal="right" vertical="center"/>
    </xf>
    <xf numFmtId="9" fontId="11" fillId="7" borderId="2" xfId="2" applyFont="1" applyFill="1" applyBorder="1" applyAlignment="1">
      <alignment horizontal="center" vertical="center" wrapText="1"/>
    </xf>
    <xf numFmtId="43" fontId="11" fillId="3" borderId="7" xfId="1" applyFont="1" applyFill="1" applyBorder="1" applyAlignment="1">
      <alignment horizontal="center" vertical="center" wrapText="1"/>
    </xf>
    <xf numFmtId="43" fontId="11" fillId="10" borderId="3" xfId="1" applyFont="1" applyFill="1" applyBorder="1" applyAlignment="1">
      <alignment horizontal="center" vertical="center" wrapText="1"/>
    </xf>
    <xf numFmtId="43" fontId="11" fillId="6" borderId="4" xfId="1" applyFont="1" applyFill="1" applyBorder="1" applyAlignment="1">
      <alignment horizontal="center" vertical="center" wrapText="1"/>
    </xf>
    <xf numFmtId="9" fontId="11" fillId="7" borderId="3" xfId="2" applyFont="1" applyFill="1" applyBorder="1" applyAlignment="1">
      <alignment horizontal="center" vertical="center" wrapText="1"/>
    </xf>
    <xf numFmtId="43" fontId="11" fillId="8" borderId="7" xfId="1" applyFont="1" applyFill="1" applyBorder="1" applyAlignment="1">
      <alignment horizontal="center" vertical="center" wrapText="1"/>
    </xf>
    <xf numFmtId="43" fontId="11" fillId="9" borderId="4" xfId="1" applyFont="1" applyFill="1" applyBorder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1" fillId="0" borderId="0" xfId="1" applyNumberFormat="1" applyFont="1" applyAlignment="1">
      <alignment horizontal="right" vertical="center"/>
    </xf>
    <xf numFmtId="0" fontId="0" fillId="0" borderId="0" xfId="0" applyAlignment="1">
      <alignment horizontal="right"/>
    </xf>
    <xf numFmtId="0" fontId="9" fillId="0" borderId="8" xfId="0" applyFont="1" applyBorder="1"/>
    <xf numFmtId="0" fontId="14" fillId="0" borderId="0" xfId="0" quotePrefix="1" applyFont="1"/>
    <xf numFmtId="43" fontId="13" fillId="0" borderId="0" xfId="1" applyFont="1" applyAlignment="1">
      <alignment horizontal="center" vertical="center"/>
    </xf>
    <xf numFmtId="43" fontId="14" fillId="0" borderId="0" xfId="1" applyFont="1" applyAlignment="1">
      <alignment horizontal="center"/>
    </xf>
    <xf numFmtId="43" fontId="9" fillId="0" borderId="0" xfId="1" applyFont="1" applyAlignment="1">
      <alignment horizontal="center"/>
    </xf>
    <xf numFmtId="8" fontId="14" fillId="0" borderId="0" xfId="1" applyNumberFormat="1" applyFont="1"/>
    <xf numFmtId="0" fontId="17" fillId="0" borderId="0" xfId="0" applyFont="1" applyAlignment="1">
      <alignment horizontal="left" vertical="center"/>
    </xf>
    <xf numFmtId="43" fontId="9" fillId="0" borderId="0" xfId="0" applyNumberFormat="1" applyFont="1"/>
    <xf numFmtId="43" fontId="14" fillId="14" borderId="0" xfId="1" applyFont="1" applyFill="1"/>
    <xf numFmtId="0" fontId="18" fillId="0" borderId="0" xfId="0" applyFont="1"/>
    <xf numFmtId="43" fontId="18" fillId="0" borderId="0" xfId="1" applyFont="1"/>
    <xf numFmtId="14" fontId="14" fillId="0" borderId="0" xfId="0" applyNumberFormat="1" applyFont="1"/>
    <xf numFmtId="16" fontId="14" fillId="0" borderId="0" xfId="0" applyNumberFormat="1" applyFont="1"/>
    <xf numFmtId="43" fontId="1" fillId="0" borderId="0" xfId="1" applyFont="1" applyAlignment="1">
      <alignment horizontal="left" vertical="center"/>
    </xf>
    <xf numFmtId="43" fontId="19" fillId="0" borderId="0" xfId="1" applyFont="1"/>
    <xf numFmtId="0" fontId="8" fillId="5" borderId="6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9" fontId="8" fillId="5" borderId="0" xfId="2" applyFont="1" applyFill="1" applyBorder="1" applyAlignment="1">
      <alignment horizontal="center" vertical="center" wrapText="1"/>
    </xf>
    <xf numFmtId="9" fontId="8" fillId="5" borderId="6" xfId="2" applyFont="1" applyFill="1" applyBorder="1" applyAlignment="1">
      <alignment horizontal="center" vertical="center" wrapText="1"/>
    </xf>
    <xf numFmtId="0" fontId="10" fillId="10" borderId="9" xfId="0" applyFont="1" applyFill="1" applyBorder="1" applyAlignment="1">
      <alignment horizontal="center" vertical="center" wrapText="1"/>
    </xf>
    <xf numFmtId="9" fontId="10" fillId="10" borderId="9" xfId="2" applyFont="1" applyFill="1" applyBorder="1" applyAlignment="1">
      <alignment horizontal="center" vertical="center" wrapText="1"/>
    </xf>
    <xf numFmtId="0" fontId="10" fillId="10" borderId="7" xfId="0" applyFont="1" applyFill="1" applyBorder="1" applyAlignment="1">
      <alignment horizontal="center" vertical="center" wrapText="1"/>
    </xf>
    <xf numFmtId="9" fontId="10" fillId="10" borderId="7" xfId="2" applyFont="1" applyFill="1" applyBorder="1" applyAlignment="1">
      <alignment horizontal="center" vertical="center" wrapText="1"/>
    </xf>
    <xf numFmtId="0" fontId="10" fillId="10" borderId="0" xfId="0" applyFont="1" applyFill="1" applyAlignment="1">
      <alignment horizontal="center" vertical="center" wrapText="1"/>
    </xf>
    <xf numFmtId="9" fontId="10" fillId="10" borderId="0" xfId="2" applyFont="1" applyFill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0" fillId="10" borderId="6" xfId="0" applyFont="1" applyFill="1" applyBorder="1" applyAlignment="1">
      <alignment horizontal="center" vertical="center" wrapText="1"/>
    </xf>
    <xf numFmtId="43" fontId="10" fillId="10" borderId="6" xfId="1" applyFont="1" applyFill="1" applyBorder="1" applyAlignment="1">
      <alignment horizontal="center" vertical="center" wrapText="1"/>
    </xf>
    <xf numFmtId="0" fontId="7" fillId="11" borderId="0" xfId="0" applyFont="1" applyFill="1" applyAlignment="1">
      <alignment horizontal="center"/>
    </xf>
    <xf numFmtId="0" fontId="6" fillId="12" borderId="0" xfId="0" applyFont="1" applyFill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3" borderId="3" xfId="0" applyFont="1" applyFill="1" applyBorder="1" applyAlignment="1">
      <alignment horizontal="center" vertical="center"/>
    </xf>
    <xf numFmtId="0" fontId="6" fillId="13" borderId="4" xfId="0" applyFont="1" applyFill="1" applyBorder="1" applyAlignment="1">
      <alignment horizontal="center" vertical="center"/>
    </xf>
    <xf numFmtId="0" fontId="6" fillId="13" borderId="5" xfId="0" applyFont="1" applyFill="1" applyBorder="1" applyAlignment="1">
      <alignment horizontal="center" vertical="center"/>
    </xf>
    <xf numFmtId="0" fontId="5" fillId="11" borderId="0" xfId="0" applyFont="1" applyFill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1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99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64" formatCode="0.0%;[Red]\-0.0%;\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64" formatCode="0.0%;[Red]\-0.0%;\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64" formatCode="0.0%;[Red]\-0.0%;\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64" formatCode="0.0%;[Red]\-0.0%;\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64" formatCode="0.0%;[Red]\-0.0%;\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64" formatCode="0.0%;[Red]\-0.0%;\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64" formatCode="0.0%;[Red]\-0.0%;\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64" formatCode="0.0%;[Red]\-0.0%;\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64" formatCode="0.0%;[Red]\-0.0%;\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64" formatCode="0.0%;[Red]\-0.0%;\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64" formatCode="0.0%;[Red]\-0.0%;\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64" formatCode="0.0%;[Red]\-0.0%;\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64" formatCode="0.0%;[Red]\-0.0%;\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right style="thin">
          <color rgb="FFC9C9C9"/>
        </right>
        <top style="thin">
          <color rgb="FFC9C9C9"/>
        </top>
      </border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border outline="0">
        <bottom style="thin">
          <color rgb="FFC9C9C9"/>
        </bottom>
      </border>
    </dxf>
    <dxf>
      <alignment horizont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 Light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border outline="0">
        <top style="thin">
          <color rgb="FFC9C9C9"/>
        </top>
      </border>
    </dxf>
    <dxf>
      <font>
        <strike val="0"/>
        <outline val="0"/>
        <shadow val="0"/>
        <u val="none"/>
        <vertAlign val="baseline"/>
        <sz val="9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border outline="0">
        <bottom style="thin">
          <color rgb="FFC9C9C9"/>
        </bottom>
      </border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D6B36"/>
      <rgbColor rgb="FF000099"/>
      <rgbColor rgb="FF548235"/>
      <rgbColor rgb="FF800080"/>
      <rgbColor rgb="FF008080"/>
      <rgbColor rgb="FFC9C9C9"/>
      <rgbColor rgb="FF878787"/>
      <rgbColor rgb="FF9999FF"/>
      <rgbColor rgb="FF7030A0"/>
      <rgbColor rgb="FFF9F9F9"/>
      <rgbColor rgb="FFF2F7FC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2E5496"/>
      <rgbColor rgb="FF888888"/>
      <rgbColor rgb="FF1F3864"/>
      <rgbColor rgb="FF339966"/>
      <rgbColor rgb="FF003300"/>
      <rgbColor rgb="FF333300"/>
      <rgbColor rgb="FF993300"/>
      <rgbColor rgb="FF993366"/>
      <rgbColor rgb="FF3D1A6B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9DBD68-BD20-4E46-8A35-7FC5CDD7A923}" name="Tabela2" displayName="Tabela2" ref="A3:BO26" totalsRowShown="0" headerRowDxfId="70" dataDxfId="68" headerRowBorderDxfId="69" tableBorderDxfId="67">
  <autoFilter ref="A3:BO26" xr:uid="{6D9DBD68-BD20-4E46-8A35-7FC5CDD7A923}"/>
  <tableColumns count="67">
    <tableColumn id="1" xr3:uid="{5F4D8788-671B-4865-87B6-85143AFD032A}" name="Ano" dataDxfId="66"/>
    <tableColumn id="2" xr3:uid="{76793E84-C31A-4473-A294-B60297A9B454}" name="Área" dataDxfId="65"/>
    <tableColumn id="67" xr3:uid="{0AD2920E-B2F2-426A-8773-E5D65ED4F114}" name="Linha Contábil" dataDxfId="64"/>
    <tableColumn id="3" xr3:uid="{FDCECF37-4766-49C9-817D-0CAF16C19841}" name="Centro de Custo" dataDxfId="63"/>
    <tableColumn id="4" xr3:uid="{7B87D8F4-A66A-4420-8706-A4396C0459A6}" name="Categoria Macro" dataDxfId="62"/>
    <tableColumn id="5" xr3:uid="{3F0D94DD-AB73-4333-857B-EF5ED89144C8}" name="Subcategoria" dataDxfId="61"/>
    <tableColumn id="6" xr3:uid="{F9B5BB05-0D22-4090-B8C6-AA866C1BA736}" name="Descrição do Item" dataDxfId="60"/>
    <tableColumn id="7" xr3:uid="{B12938C2-3C05-4E68-8480-9D8FD424CF02}" name="Fornecedor" dataDxfId="59"/>
    <tableColumn id="8" xr3:uid="{D644365F-6371-4230-89C8-64E77DD2E4AD}" name="Responsável" dataDxfId="58"/>
    <tableColumn id="9" xr3:uid="{D644C481-48C3-46A4-AAD3-1A945B3013BE}" name="Natureza" dataDxfId="57"/>
    <tableColumn id="10" xr3:uid="{3756C216-BA5F-4732-953C-0A4629EDA3BA}" name="Projeto / Iniciativa" dataDxfId="56"/>
    <tableColumn id="11" xr3:uid="{C676F414-F878-4013-B2A6-FA0E23C6DE19}" name="Status" dataDxfId="55"/>
    <tableColumn id="12" xr3:uid="{8A754CDB-0E0F-4EC2-A746-BF05024406C0}" name="Observação / Justificativa" dataDxfId="54"/>
    <tableColumn id="13" xr3:uid="{14B0293D-1E93-4366-95AB-3C5D70FD6F97}" name="Orçado_x000a_Jan" dataDxfId="53"/>
    <tableColumn id="14" xr3:uid="{FD626D9B-6AC5-4194-BB9A-58D6E2533794}" name="Realizado_x000a_Jan" dataDxfId="52"/>
    <tableColumn id="15" xr3:uid="{4DABB0AB-B9FD-4E95-AEA9-EEC6C4FAFEE3}" name="Delta_x000a_Jan" dataDxfId="51">
      <calculatedColumnFormula>O4-N4</calculatedColumnFormula>
    </tableColumn>
    <tableColumn id="16" xr3:uid="{8BDBCFBB-9361-490C-B162-E61C22A4FD51}" name="% Delta_x000a_Jan" dataDxfId="50">
      <calculatedColumnFormula>IFERROR((O4-N4)/N4,"-")</calculatedColumnFormula>
    </tableColumn>
    <tableColumn id="17" xr3:uid="{1062A87C-639D-4B49-8129-704433B4940F}" name="Orçado_x000a_Fev" dataDxfId="49"/>
    <tableColumn id="18" xr3:uid="{A5307F81-5F23-4E3D-9327-96DFA52B045F}" name="Realizado_x000a_Fev" dataDxfId="48"/>
    <tableColumn id="19" xr3:uid="{A787E79E-46E0-4CB9-8C45-B7E703CCCCDE}" name="Delta_x000a_Fev" dataDxfId="47">
      <calculatedColumnFormula>S4-R4</calculatedColumnFormula>
    </tableColumn>
    <tableColumn id="20" xr3:uid="{F6897A3F-2E3A-4492-9F59-FFD2EE2EA59E}" name="% Delta_x000a_Fev" dataDxfId="46">
      <calculatedColumnFormula>IFERROR((S4-R4)/R4,"-")</calculatedColumnFormula>
    </tableColumn>
    <tableColumn id="21" xr3:uid="{7C4EBC3D-90AD-4546-9147-E7A90A713383}" name="Orçado_x000a_Mar" dataDxfId="45"/>
    <tableColumn id="22" xr3:uid="{B42E3394-884E-49F9-9BFA-05FE0FC904D1}" name="Realizado_x000a_Mar" dataDxfId="44"/>
    <tableColumn id="23" xr3:uid="{EA1AD24D-1B55-4137-ADA0-5B578EFD3249}" name="Delta_x000a_Mar" dataDxfId="43">
      <calculatedColumnFormula>W4-V4</calculatedColumnFormula>
    </tableColumn>
    <tableColumn id="24" xr3:uid="{EECA705D-D5BC-4CDB-909A-94CB7AC86DFB}" name="% Delta_x000a_Mar" dataDxfId="42">
      <calculatedColumnFormula>IFERROR((W4-V4)/V4,"-")</calculatedColumnFormula>
    </tableColumn>
    <tableColumn id="25" xr3:uid="{95C383C8-24EF-4C42-9056-0E191030CE9D}" name="Orçado_x000a_Abr" dataDxfId="41"/>
    <tableColumn id="26" xr3:uid="{9ABCB15A-B2C8-41A4-AF32-C0F289D2ACBF}" name="Realizado_x000a_Abr" dataDxfId="40"/>
    <tableColumn id="27" xr3:uid="{83D47C03-19C9-4E1D-8890-D4B9DC509692}" name="Delta_x000a_Abr" dataDxfId="39">
      <calculatedColumnFormula>AA4-Z4</calculatedColumnFormula>
    </tableColumn>
    <tableColumn id="28" xr3:uid="{60A13B86-9C0C-4E56-9E7E-1A0967B1D043}" name="% Delta_x000a_Abr" dataDxfId="38">
      <calculatedColumnFormula>IFERROR((AA4-Z4)/Z4,"-")</calculatedColumnFormula>
    </tableColumn>
    <tableColumn id="29" xr3:uid="{C58B91B6-A546-4BE6-AD7F-1F7398988F76}" name="Orçado_x000a_Mai" dataDxfId="37"/>
    <tableColumn id="30" xr3:uid="{9A0CAA3F-5BED-4072-8126-C00B880DB519}" name="Realizado_x000a_Mai" dataDxfId="36"/>
    <tableColumn id="31" xr3:uid="{8005CEFC-4128-4857-A531-28953DADD9BC}" name="Delta_x000a_Mai" dataDxfId="35">
      <calculatedColumnFormula>AE4-AD4</calculatedColumnFormula>
    </tableColumn>
    <tableColumn id="32" xr3:uid="{06D8115D-7CF9-4A10-888C-24220DC82466}" name="% Delta_x000a_Mai" dataDxfId="34">
      <calculatedColumnFormula>IFERROR((AE4-AD4)/AD4,"-")</calculatedColumnFormula>
    </tableColumn>
    <tableColumn id="33" xr3:uid="{297973D1-6A02-4D27-8026-E09CFEFD7F8C}" name="Orçado_x000a_Jun" dataDxfId="33"/>
    <tableColumn id="34" xr3:uid="{5CBEFC24-C3BD-4FD3-BE8F-7DFB6CA26902}" name="Realizado_x000a_Jun" dataDxfId="32"/>
    <tableColumn id="35" xr3:uid="{EAF380D3-6CCF-4E9C-8553-2BB40E269790}" name="Delta_x000a_Jun" dataDxfId="31">
      <calculatedColumnFormula>AI4-AH4</calculatedColumnFormula>
    </tableColumn>
    <tableColumn id="36" xr3:uid="{7B368CE9-DD02-4C27-94D5-851397492118}" name="% Delta_x000a_Jun" dataDxfId="30">
      <calculatedColumnFormula>IFERROR((AI4-AH4)/AH4,"-")</calculatedColumnFormula>
    </tableColumn>
    <tableColumn id="37" xr3:uid="{5FD75D84-B27D-476A-9CD7-3BDC5C92028D}" name="Orçado_x000a_Jul" dataDxfId="29"/>
    <tableColumn id="38" xr3:uid="{285E8DF2-84AD-436B-9189-0B72BAC66826}" name="Realizado_x000a_Jul" dataDxfId="28"/>
    <tableColumn id="39" xr3:uid="{95031896-3A98-449F-8C91-025157DCCA42}" name="Delta_x000a_Jul" dataDxfId="27">
      <calculatedColumnFormula>AM4-AL4</calculatedColumnFormula>
    </tableColumn>
    <tableColumn id="40" xr3:uid="{3E85B1CF-F888-48BB-9FA5-A7AEB6DA0DCA}" name="% Delta_x000a_Jul" dataDxfId="26">
      <calculatedColumnFormula>IFERROR((AM4-AL4)/AL4,"-")</calculatedColumnFormula>
    </tableColumn>
    <tableColumn id="41" xr3:uid="{3CB8670B-8BFF-406D-A419-6F6BCEDAFFF0}" name="Orçado_x000a_Ago" dataDxfId="25"/>
    <tableColumn id="42" xr3:uid="{F7C80625-C6CF-4BB4-8E6B-EDD0B8E7245C}" name="Realizado_x000a_Ago" dataDxfId="24"/>
    <tableColumn id="43" xr3:uid="{DA6E9D7D-E7E6-49B5-8307-E9DE95D9059B}" name="Delta_x000a_Ago" dataDxfId="23">
      <calculatedColumnFormula>AQ4-AP4</calculatedColumnFormula>
    </tableColumn>
    <tableColumn id="44" xr3:uid="{90F8D1BF-AFA8-48BB-ACBF-D17417BECC14}" name="% Delta_x000a_Ago" dataDxfId="22">
      <calculatedColumnFormula>IFERROR((AQ4-AP4)/AP4,"-")</calculatedColumnFormula>
    </tableColumn>
    <tableColumn id="45" xr3:uid="{6AEFD407-906E-491F-B3FB-DC15AC06FB39}" name="Orçado_x000a_Set" dataDxfId="21"/>
    <tableColumn id="46" xr3:uid="{621D7C2B-D4DA-48C2-BC5F-30CFF114E3F2}" name="Realizado_x000a_Set" dataDxfId="20"/>
    <tableColumn id="47" xr3:uid="{34A7CF8F-9223-4403-8176-667CF0FC6E5A}" name="Delta_x000a_Set" dataDxfId="19">
      <calculatedColumnFormula>AU4-AT4</calculatedColumnFormula>
    </tableColumn>
    <tableColumn id="48" xr3:uid="{0A59ACFB-B663-440B-9E3D-CC913D3686D7}" name="% Delta_x000a_Set" dataDxfId="18">
      <calculatedColumnFormula>IFERROR((AU4-AT4)/AT4,"-")</calculatedColumnFormula>
    </tableColumn>
    <tableColumn id="49" xr3:uid="{E9E4C6CA-44F3-413A-A382-3AE2A6E2FD54}" name="Orçado_x000a_Out" dataDxfId="17"/>
    <tableColumn id="50" xr3:uid="{E14B9A68-0A33-425B-AA60-7396F726072C}" name="Realizado_x000a_Out" dataDxfId="16"/>
    <tableColumn id="51" xr3:uid="{3DB470DA-D4A7-476E-A2B0-F2A5852D1F28}" name="Delta_x000a_Out" dataDxfId="15">
      <calculatedColumnFormula>AY4-AX4</calculatedColumnFormula>
    </tableColumn>
    <tableColumn id="52" xr3:uid="{76F1055B-0CB6-4CA2-96BE-674025C02369}" name="% Delta_x000a_Out" dataDxfId="14">
      <calculatedColumnFormula>IFERROR((AY4-AX4)/AX4,"-")</calculatedColumnFormula>
    </tableColumn>
    <tableColumn id="53" xr3:uid="{03BBBD66-837C-465F-A3B0-0C81D079253C}" name="Orçado_x000a_Nov" dataDxfId="13"/>
    <tableColumn id="54" xr3:uid="{9EB88ACD-390C-4E23-AA22-ED0DB303E0DF}" name="Realizado_x000a_Nov" dataDxfId="12"/>
    <tableColumn id="55" xr3:uid="{E3F24792-C48A-4C8E-B0B3-78D94631E183}" name="Delta_x000a_Nov" dataDxfId="11">
      <calculatedColumnFormula>BC4-BB4</calculatedColumnFormula>
    </tableColumn>
    <tableColumn id="56" xr3:uid="{7C2951C1-5F57-4DD4-AE70-E63587B11734}" name="% Delta_x000a_Nov" dataDxfId="10">
      <calculatedColumnFormula>IFERROR((BC4-BB4)/BB4,"-")</calculatedColumnFormula>
    </tableColumn>
    <tableColumn id="57" xr3:uid="{6EEF0DC9-887A-4FAD-9F19-3486C800C3EE}" name="Orçado_x000a_Dez" dataDxfId="9"/>
    <tableColumn id="58" xr3:uid="{44EE5437-F278-4C32-B9E7-858B2C10DB6D}" name="Realizado_x000a_Dez" dataDxfId="8"/>
    <tableColumn id="59" xr3:uid="{37C5E6C7-8F97-4F38-9799-1435EAC1EDEA}" name="Delta_x000a_Dez" dataDxfId="7">
      <calculatedColumnFormula>BG4-BF4</calculatedColumnFormula>
    </tableColumn>
    <tableColumn id="60" xr3:uid="{F6DB1D05-4759-4239-9082-66CD18A9F0B2}" name="% Delta_x000a_Dez" dataDxfId="6">
      <calculatedColumnFormula>IFERROR((BG4-BF4)/BF4,"-")</calculatedColumnFormula>
    </tableColumn>
    <tableColumn id="61" xr3:uid="{0EB0E828-36EE-4946-B4CA-0C8F5D50137A}" name="Total Orçado_x000a_Ano" dataDxfId="5">
      <calculatedColumnFormula>SUM(Tabela2[[#This Row],[Orçado
Dez]]+Tabela2[[#This Row],[Orçado
Nov]]+Tabela2[[#This Row],[Orçado
Out]]+Tabela2[[#This Row],[Orçado
Set]]+Tabela2[[#This Row],[Orçado
Ago]]+Tabela2[[#This Row],[Orçado
Jul]]+Tabela2[[#This Row],[Orçado
Jun]]+Tabela2[[#This Row],[Orçado
Mai]]+Tabela2[[#This Row],[Orçado
Abr]]+Tabela2[[#This Row],[Orçado
Mar]]+Tabela2[[#This Row],[Orçado
Fev]]+Tabela2[[#This Row],[Orçado
Jan]])</calculatedColumnFormula>
    </tableColumn>
    <tableColumn id="62" xr3:uid="{A84C6C76-8CBC-4039-80FE-F7EEC8E23982}" name="Total Realizado_x000a_Ano" dataDxfId="4">
      <calculatedColumnFormula>SUM(O4,S4,W4,AA4,AE4,AI4,AM4,AQ4,AU4,AY4,BC4,BG4)</calculatedColumnFormula>
    </tableColumn>
    <tableColumn id="63" xr3:uid="{99E92E99-A45A-471E-B498-B3DA2AEB5378}" name="Total Delta_x000a_Ano" dataDxfId="3">
      <calculatedColumnFormula>BK4-BJ4</calculatedColumnFormula>
    </tableColumn>
    <tableColumn id="64" xr3:uid="{5080510D-FEDA-4F07-B2EC-E6C3CD051061}" name="% Delta_x000a_Ano" dataDxfId="2">
      <calculatedColumnFormula>IFERROR((BK4-BJ4)/BJ4,"-")</calculatedColumnFormula>
    </tableColumn>
    <tableColumn id="65" xr3:uid="{55B2478F-0D65-40DA-8023-5EF0D26F16B2}" name="Total_x000a_Comprometido" dataDxfId="1">
      <calculatedColumnFormula>Tabela2[[#This Row],[Total Orçado
Ano]]-Tabela2[[#This Row],[Total Realizado
Ano]]</calculatedColumnFormula>
    </tableColumn>
    <tableColumn id="66" xr3:uid="{33DAEF5D-810B-4F70-A79C-434A79A4129E}" name="Total_x000a_Forecast" dataDxfId="0">
      <calculatedColumnFormula>BK4+BN4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7EAB0B-2B2F-411D-BDBD-3A11BC7DD3DB}" name="Tabela4" displayName="Tabela4" ref="A3:BP84" totalsRowShown="0" headerRowDxfId="142" dataDxfId="140" headerRowBorderDxfId="141" tableBorderDxfId="139">
  <autoFilter ref="A3:BP84" xr:uid="{A37EAB0B-2B2F-411D-BDBD-3A11BC7DD3DB}"/>
  <tableColumns count="68">
    <tableColumn id="1" xr3:uid="{92B5564C-39A7-4B53-9E25-9A04199EEE1B}" name="Ano" dataDxfId="138"/>
    <tableColumn id="2" xr3:uid="{BB31EC71-E486-4DD0-8BB5-B5F964A73223}" name="Área" dataDxfId="137"/>
    <tableColumn id="67" xr3:uid="{267D47A7-254E-4EB7-AA32-C64B28818336}" name="Linha contábil" dataDxfId="136"/>
    <tableColumn id="3" xr3:uid="{72C7F20B-C9D3-48C1-A702-7C68DD180D4A}" name="Centro de Custo" dataDxfId="135"/>
    <tableColumn id="4" xr3:uid="{8F60A581-8E92-4ACC-B562-6B24AA0B9EA8}" name="Categoria Macro" dataDxfId="134"/>
    <tableColumn id="5" xr3:uid="{539F2A14-AA61-41E6-8570-2173D1290188}" name="Subcategoria" dataDxfId="133"/>
    <tableColumn id="6" xr3:uid="{E193A44C-A0DA-4A8F-ADBA-ACE37A28E6DB}" name="Descrição do Item" dataDxfId="132"/>
    <tableColumn id="7" xr3:uid="{5F01BB0A-332D-4B1F-BA0E-F80EFC5AC5ED}" name="Fornecedor" dataDxfId="131"/>
    <tableColumn id="8" xr3:uid="{7F9743FB-14E0-462C-AB41-CC4ADF535857}" name="Responsável" dataDxfId="130"/>
    <tableColumn id="9" xr3:uid="{C971C597-7AB9-4310-9BC2-41F8204915E6}" name="Natureza" dataDxfId="129"/>
    <tableColumn id="10" xr3:uid="{1B49358E-101A-4404-9C60-BEF1983C477A}" name="Projeto / Iniciativa" dataDxfId="128"/>
    <tableColumn id="11" xr3:uid="{A2EEC905-587A-4040-B35A-35AE7351E5F4}" name="Status" dataDxfId="127"/>
    <tableColumn id="12" xr3:uid="{F51869CD-0F07-4AA5-A2DF-11A828A52ED4}" name="Observação / Justificativa" dataDxfId="126"/>
    <tableColumn id="13" xr3:uid="{1EFDBF00-2B34-4BE8-B454-BC6864F51D89}" name="Orçado_x000a_Jan" dataDxfId="125" dataCellStyle="Vírgula"/>
    <tableColumn id="14" xr3:uid="{182B0E30-88C3-4C28-8724-91ECB3E1DDBE}" name="Realizado_x000a_Jan" dataDxfId="124" dataCellStyle="Vírgula"/>
    <tableColumn id="15" xr3:uid="{3B14E928-335B-47DA-87D4-F8E45009F87E}" name="Delta_x000a_Jan" dataDxfId="123" dataCellStyle="Vírgula">
      <calculatedColumnFormula>Tabela4[[#This Row],[Realizado
Jan]]-Tabela4[[#This Row],[Orçado
Jan]]</calculatedColumnFormula>
    </tableColumn>
    <tableColumn id="16" xr3:uid="{025CF670-C82E-454E-8317-20D76A161123}" name="% Delta_x000a_Jan" dataDxfId="122" dataCellStyle="Porcentagem">
      <calculatedColumnFormula>IFERROR((O4-N4)/N4,"-")</calculatedColumnFormula>
    </tableColumn>
    <tableColumn id="17" xr3:uid="{A4013832-AD40-4D2B-9B61-8BD09D08F692}" name="Orçado_x000a_Fev" dataDxfId="121"/>
    <tableColumn id="18" xr3:uid="{7390AB82-D03E-4505-9F22-CE1329015DF2}" name="Realizado_x000a_Fev" dataDxfId="120" dataCellStyle="Vírgula"/>
    <tableColumn id="19" xr3:uid="{4EDF0453-D0BE-4E08-9172-299D4A77C778}" name="Delta_x000a_Fev" dataDxfId="119" dataCellStyle="Vírgula"/>
    <tableColumn id="20" xr3:uid="{67BB424C-F0E7-4ADD-B00F-2439FA9E6679}" name="% Delta_x000a_Fev" dataDxfId="118" dataCellStyle="Porcentagem">
      <calculatedColumnFormula>IFERROR((S4-R4)/R4,"-")</calculatedColumnFormula>
    </tableColumn>
    <tableColumn id="21" xr3:uid="{8AD79E74-BEF0-471A-A87E-654D1A14FB54}" name="Orçado_x000a_Mar" dataDxfId="117" dataCellStyle="Vírgula"/>
    <tableColumn id="22" xr3:uid="{EBE3A225-8097-4850-8B24-78B97A563E11}" name="Realizado_x000a_Mar" dataDxfId="116" dataCellStyle="Vírgula"/>
    <tableColumn id="23" xr3:uid="{B2130D9E-8712-47AB-8A44-6A38FA7AC354}" name="Delta_x000a_Mar" dataDxfId="115" dataCellStyle="Vírgula">
      <calculatedColumnFormula>Tabela4[[#This Row],[Realizado
Mar]]-Tabela4[[#This Row],[Orçado
Mar]]</calculatedColumnFormula>
    </tableColumn>
    <tableColumn id="24" xr3:uid="{570D6C28-866E-4204-9B88-37398919CFE9}" name="% Delta_x000a_Mar" dataDxfId="114" dataCellStyle="Porcentagem">
      <calculatedColumnFormula>IFERROR((W4-V4)/V4,"-")</calculatedColumnFormula>
    </tableColumn>
    <tableColumn id="25" xr3:uid="{8E2714C1-7E2B-408F-90DC-175828EA5A88}" name="Orçado_x000a_Abr" dataDxfId="113" dataCellStyle="Vírgula"/>
    <tableColumn id="26" xr3:uid="{E13F9F44-8F69-438B-9E5C-310538F457E9}" name="Realizado_x000a_Abr" dataDxfId="112" dataCellStyle="Vírgula"/>
    <tableColumn id="27" xr3:uid="{6E642B0C-5521-47C2-8555-2A8CC401B164}" name="Delta_x000a_Abr" dataDxfId="111" dataCellStyle="Vírgula">
      <calculatedColumnFormula>Tabela4[[#This Row],[Realizado
Abr]]-Tabela4[[#This Row],[Orçado
Abr]]</calculatedColumnFormula>
    </tableColumn>
    <tableColumn id="28" xr3:uid="{DEAA167A-0130-4E11-8531-8911BF9F86F9}" name="% Delta_x000a_Abr" dataDxfId="110" dataCellStyle="Porcentagem">
      <calculatedColumnFormula>IFERROR((AA4-Z4)/Z4,"-")</calculatedColumnFormula>
    </tableColumn>
    <tableColumn id="29" xr3:uid="{7ADEFC9E-84F3-4E0C-BF6B-F9ED4A0BDB02}" name="Orçado_x000a_Mai" dataDxfId="109" dataCellStyle="Vírgula"/>
    <tableColumn id="30" xr3:uid="{6A872568-FC73-4D47-899D-02DF208CAA94}" name="Realizado_x000a_Mai" dataDxfId="108" dataCellStyle="Vírgula"/>
    <tableColumn id="31" xr3:uid="{2A9E52C5-7DE4-43E5-9386-E7CE2616E94B}" name="Delta_x000a_Mai" dataDxfId="107" dataCellStyle="Vírgula">
      <calculatedColumnFormula>Tabela4[[#This Row],[Realizado
Mai]]-Tabela4[[#This Row],[Orçado
Mai]]</calculatedColumnFormula>
    </tableColumn>
    <tableColumn id="32" xr3:uid="{EAB02D43-B91E-41AB-A2F7-6B599DBA63B3}" name="% Delta_x000a_Mai" dataDxfId="106" dataCellStyle="Porcentagem">
      <calculatedColumnFormula>IFERROR((AE4-AD4)/AD4,"-")</calculatedColumnFormula>
    </tableColumn>
    <tableColumn id="33" xr3:uid="{1A7667EA-A93A-4F29-AD31-8FFE1EF85FE6}" name="Orçado_x000a_Jun" dataDxfId="105" dataCellStyle="Vírgula"/>
    <tableColumn id="34" xr3:uid="{80DD2221-C01D-4195-AAC8-5A4D9AA3A2E6}" name="Realizado_x000a_Jun" dataDxfId="104" dataCellStyle="Vírgula"/>
    <tableColumn id="35" xr3:uid="{B39DCC68-50FD-43AA-9CEA-C0251CD2D192}" name="Delta_x000a_Jun" dataDxfId="103" dataCellStyle="Vírgula">
      <calculatedColumnFormula>Tabela4[[#This Row],[Realizado
Jun]]-Tabela4[[#This Row],[Orçado
Jun]]</calculatedColumnFormula>
    </tableColumn>
    <tableColumn id="36" xr3:uid="{3714DE71-B4D5-4076-9441-5F9630704823}" name="% Delta_x000a_Jun" dataDxfId="102" dataCellStyle="Porcentagem">
      <calculatedColumnFormula>IFERROR((AI4-AH4)/AH4,"-")</calculatedColumnFormula>
    </tableColumn>
    <tableColumn id="37" xr3:uid="{02EE4CE3-4DE2-45EC-99E9-D06DA237FDC1}" name="Orçado_x000a_Jul" dataDxfId="101" dataCellStyle="Vírgula"/>
    <tableColumn id="38" xr3:uid="{CF5E9343-E0D1-40D9-93D2-469F1D2AD502}" name="Realizado_x000a_Jul" dataDxfId="100" dataCellStyle="Vírgula"/>
    <tableColumn id="39" xr3:uid="{A27C8FF6-4E26-4315-921A-C100FD2E4A52}" name="Delta_x000a_Jul" dataDxfId="99" dataCellStyle="Vírgula">
      <calculatedColumnFormula>Tabela4[[#This Row],[Realizado
Jul]]-Tabela4[[#This Row],[Orçado
Jul]]</calculatedColumnFormula>
    </tableColumn>
    <tableColumn id="40" xr3:uid="{D9C32DAF-E1A6-4E16-B271-85A62E688713}" name="% Delta_x000a_Jul" dataDxfId="98" dataCellStyle="Porcentagem">
      <calculatedColumnFormula>IFERROR((AM4-AL4)/AL4,"-")</calculatedColumnFormula>
    </tableColumn>
    <tableColumn id="41" xr3:uid="{09FB995A-0A90-4AAA-B7FB-6D6FB08DD198}" name="Orçado_x000a_Ago" dataDxfId="97" dataCellStyle="Vírgula"/>
    <tableColumn id="42" xr3:uid="{8F37A4EE-41CD-4DF3-8C12-5603642DCD53}" name="Realizado_x000a_Ago" dataDxfId="96" dataCellStyle="Vírgula"/>
    <tableColumn id="43" xr3:uid="{05659DEB-62EC-406D-8D49-912AB07AA1CF}" name="Delta_x000a_Ago" dataDxfId="95" dataCellStyle="Vírgula">
      <calculatedColumnFormula>Tabela4[[#This Row],[Realizado
Ago]]-Tabela4[[#This Row],[Orçado
Ago]]</calculatedColumnFormula>
    </tableColumn>
    <tableColumn id="44" xr3:uid="{4C2005D7-19D4-4FD3-AC00-5985113B992F}" name="% Delta_x000a_Ago" dataDxfId="94" dataCellStyle="Porcentagem">
      <calculatedColumnFormula>IFERROR((AQ4-AP4)/AP4,"-")</calculatedColumnFormula>
    </tableColumn>
    <tableColumn id="45" xr3:uid="{1D55D569-FDF0-46BC-9FD8-748ED4B349BF}" name="Orçado_x000a_Set" dataDxfId="93" dataCellStyle="Vírgula"/>
    <tableColumn id="46" xr3:uid="{B4C9AEA1-87CF-40D0-8CA3-01201F8B28C2}" name="Realizado_x000a_Set" dataDxfId="92" dataCellStyle="Vírgula"/>
    <tableColumn id="47" xr3:uid="{BE402BBD-32F8-41D2-9200-6C1FDC161F79}" name="Delta_x000a_Set" dataDxfId="91" dataCellStyle="Vírgula">
      <calculatedColumnFormula>Tabela4[[#This Row],[Realizado
Set]]-Tabela4[[#This Row],[Orçado
Set]]</calculatedColumnFormula>
    </tableColumn>
    <tableColumn id="48" xr3:uid="{F87C050D-D2D9-4FF5-AAD9-5C7A27DCD539}" name="% Delta_x000a_Set" dataDxfId="90" dataCellStyle="Porcentagem">
      <calculatedColumnFormula>IFERROR((AU4-AT4)/AT4,"-")</calculatedColumnFormula>
    </tableColumn>
    <tableColumn id="49" xr3:uid="{218EDB2A-15FB-476D-9F16-8947E8EF2306}" name="Orçado_x000a_Out" dataDxfId="89" dataCellStyle="Vírgula"/>
    <tableColumn id="50" xr3:uid="{59BB34D7-67A9-49DA-A7B9-1FD210E6F791}" name="Realizado_x000a_Out" dataDxfId="88" dataCellStyle="Vírgula"/>
    <tableColumn id="51" xr3:uid="{3A96F6D6-1A51-4373-A63F-4205C09B9F4D}" name="Delta_x000a_Out" dataDxfId="87" dataCellStyle="Vírgula">
      <calculatedColumnFormula>Tabela4[[#This Row],[Realizado
Out]]-Tabela4[[#This Row],[Orçado
Out]]</calculatedColumnFormula>
    </tableColumn>
    <tableColumn id="52" xr3:uid="{6401EA8B-BBA3-4317-B04F-49D965D413B5}" name="% Delta_x000a_Out" dataDxfId="86" dataCellStyle="Porcentagem">
      <calculatedColumnFormula>IFERROR((AY4-AX4)/AX4,"-")</calculatedColumnFormula>
    </tableColumn>
    <tableColumn id="53" xr3:uid="{E6F9750F-A046-4B6F-86DC-9D6181516EBD}" name="Orçado_x000a_Nov" dataDxfId="85" dataCellStyle="Vírgula"/>
    <tableColumn id="54" xr3:uid="{3D37A466-7DF9-4D29-B1AF-BDD3188E6779}" name="Realizado_x000a_Nov" dataDxfId="84" dataCellStyle="Vírgula"/>
    <tableColumn id="55" xr3:uid="{23AEE4C9-A23D-4FBD-9A33-1846C955D244}" name="Delta_x000a_Nov" dataDxfId="83" dataCellStyle="Vírgula">
      <calculatedColumnFormula>Tabela4[[#This Row],[Realizado
Nov]]-Tabela4[[#This Row],[Orçado
Nov]]</calculatedColumnFormula>
    </tableColumn>
    <tableColumn id="56" xr3:uid="{F77C70E5-64E5-4DC3-A033-9D4E6AF920E6}" name="% Delta_x000a_Nov" dataDxfId="82" dataCellStyle="Porcentagem">
      <calculatedColumnFormula>IFERROR((BC4-BB4)/BB4,"-")</calculatedColumnFormula>
    </tableColumn>
    <tableColumn id="57" xr3:uid="{E3CC6A77-48D3-4684-BBA4-0A90B536559A}" name="Orçado_x000a_Dez" dataDxfId="81" dataCellStyle="Vírgula"/>
    <tableColumn id="58" xr3:uid="{BA39EF67-40C1-4550-8DD8-D5EBCB6B149A}" name="Realizado_x000a_Dez" dataDxfId="80" dataCellStyle="Vírgula"/>
    <tableColumn id="59" xr3:uid="{0592642C-F37C-4F7D-B49A-B1F7EDE5CB3C}" name="Delta_x000a_Dez" dataDxfId="79" dataCellStyle="Vírgula">
      <calculatedColumnFormula>Tabela4[[#This Row],[Realizado
Dez]]-Tabela4[[#This Row],[Orçado
Dez]]</calculatedColumnFormula>
    </tableColumn>
    <tableColumn id="60" xr3:uid="{45C5E596-CFCB-489E-BE39-7366517AF56D}" name="% Delta_x000a_Dez" dataDxfId="78" dataCellStyle="Porcentagem">
      <calculatedColumnFormula>IFERROR((BG4-BF4)/BF4,"-")</calculatedColumnFormula>
    </tableColumn>
    <tableColumn id="61" xr3:uid="{B5E173A6-7DE3-4CB7-9D7A-3B106BCC1202}" name="Total Orçado_x000a_Ano" dataDxfId="77" dataCellStyle="Vírgula">
      <calculatedColumnFormula>SUM(BF4,BB4,AX4,AT4,AP4,AL4,AH4,AD4,Z4,V4,R4,N4)</calculatedColumnFormula>
    </tableColumn>
    <tableColumn id="62" xr3:uid="{C2C9205A-894B-4583-A14A-03002609A36C}" name="Total Realizado_x000a_Ano" dataDxfId="76" dataCellStyle="Vírgula">
      <calculatedColumnFormula>SUM(BG4,BC4,AY4,AU4,AQ4,AM4,AI4,AE4,AA4,W4,S4,O4)</calculatedColumnFormula>
    </tableColumn>
    <tableColumn id="63" xr3:uid="{3283D168-234E-4B11-AC87-813A3EDCFB39}" name="Total Delta_x000a_Ano" dataDxfId="75" dataCellStyle="Vírgula">
      <calculatedColumnFormula>SUM(BH4,BD4,AZ4,AV4,AR4,AN4,AJ4,AF4,AB4,X4,X4,T4,P4)</calculatedColumnFormula>
    </tableColumn>
    <tableColumn id="64" xr3:uid="{F65BA9A2-11D0-46B2-B87E-B03B092B1C75}" name="% Delta_x000a_Ano" dataDxfId="74" dataCellStyle="Porcentagem">
      <calculatedColumnFormula>IFERROR((BK4-BJ4)/BJ4,"-")</calculatedColumnFormula>
    </tableColumn>
    <tableColumn id="65" xr3:uid="{ED28A89C-5DFD-4492-BAC3-7AEAFD64DB5C}" name="Total_x000a_Comprometido" dataDxfId="73" dataCellStyle="Vírgula">
      <calculatedColumnFormula>Tabela4[[#This Row],[Total Orçado
Ano]]-Tabela4[[#This Row],[Total Realizado
Ano]]</calculatedColumnFormula>
    </tableColumn>
    <tableColumn id="66" xr3:uid="{A7B7106E-85AE-4B8A-BE39-EF6E470FDA9B}" name="Total_x000a_Forecast" dataDxfId="72" dataCellStyle="Vírgula">
      <calculatedColumnFormula>Tabela4[[#This Row],[Total Orçado
Ano]]-Tabela4[[#This Row],[Total Realizado
Ano]]</calculatedColumnFormula>
    </tableColumn>
    <tableColumn id="68" xr3:uid="{493C7BA8-51E1-4895-B128-3E92D70285F8}" name="STATUS2" dataDxfId="7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O26"/>
  <sheetViews>
    <sheetView showGridLines="0" zoomScaleNormal="100" workbookViewId="0">
      <selection activeCell="V20" sqref="V20"/>
    </sheetView>
  </sheetViews>
  <sheetFormatPr defaultColWidth="27.85546875" defaultRowHeight="15" x14ac:dyDescent="0.25"/>
  <cols>
    <col min="1" max="1" width="8" bestFit="1" customWidth="1"/>
    <col min="2" max="2" width="18.140625" bestFit="1" customWidth="1"/>
    <col min="3" max="3" width="18.140625" customWidth="1"/>
    <col min="4" max="4" width="23.5703125" bestFit="1" customWidth="1"/>
    <col min="5" max="5" width="16.85546875" bestFit="1" customWidth="1"/>
    <col min="6" max="6" width="55" bestFit="1" customWidth="1"/>
    <col min="7" max="7" width="37.28515625" customWidth="1"/>
    <col min="8" max="8" width="13.28515625" customWidth="1"/>
    <col min="9" max="9" width="14.140625" customWidth="1"/>
    <col min="10" max="10" width="11.5703125" customWidth="1"/>
    <col min="11" max="11" width="18.28515625" customWidth="1"/>
    <col min="12" max="12" width="9.5703125" customWidth="1"/>
    <col min="13" max="13" width="23.42578125" customWidth="1"/>
    <col min="14" max="14" width="12.85546875" style="53" bestFit="1" customWidth="1"/>
    <col min="15" max="15" width="16" bestFit="1" customWidth="1"/>
    <col min="16" max="16" width="12.5703125" bestFit="1" customWidth="1"/>
    <col min="17" max="17" width="14.140625" bestFit="1" customWidth="1"/>
    <col min="18" max="18" width="12.85546875" bestFit="1" customWidth="1"/>
    <col min="19" max="19" width="16" bestFit="1" customWidth="1"/>
    <col min="20" max="20" width="12.5703125" bestFit="1" customWidth="1"/>
    <col min="21" max="21" width="14.140625" bestFit="1" customWidth="1"/>
    <col min="22" max="22" width="13" bestFit="1" customWidth="1"/>
    <col min="23" max="23" width="16.140625" bestFit="1" customWidth="1"/>
    <col min="24" max="24" width="12.7109375" bestFit="1" customWidth="1"/>
    <col min="25" max="25" width="14.28515625" bestFit="1" customWidth="1"/>
    <col min="26" max="26" width="12.7109375" bestFit="1" customWidth="1"/>
    <col min="27" max="27" width="15.85546875" bestFit="1" customWidth="1"/>
    <col min="28" max="28" width="12.42578125" bestFit="1" customWidth="1"/>
    <col min="29" max="29" width="14" bestFit="1" customWidth="1"/>
    <col min="30" max="30" width="12.85546875" bestFit="1" customWidth="1"/>
    <col min="31" max="31" width="16" bestFit="1" customWidth="1"/>
    <col min="32" max="32" width="12.5703125" bestFit="1" customWidth="1"/>
    <col min="33" max="33" width="14.140625" bestFit="1" customWidth="1"/>
    <col min="34" max="34" width="12.85546875" bestFit="1" customWidth="1"/>
    <col min="35" max="35" width="16" bestFit="1" customWidth="1"/>
    <col min="36" max="36" width="12.5703125" bestFit="1" customWidth="1"/>
    <col min="37" max="37" width="14.140625" bestFit="1" customWidth="1"/>
    <col min="38" max="38" width="12.42578125" bestFit="1" customWidth="1"/>
    <col min="39" max="39" width="15.5703125" bestFit="1" customWidth="1"/>
    <col min="40" max="40" width="12.140625" bestFit="1" customWidth="1"/>
    <col min="41" max="41" width="13.7109375" bestFit="1" customWidth="1"/>
    <col min="42" max="42" width="13.140625" bestFit="1" customWidth="1"/>
    <col min="43" max="43" width="16.28515625" bestFit="1" customWidth="1"/>
    <col min="44" max="44" width="12.7109375" bestFit="1" customWidth="1"/>
    <col min="45" max="45" width="14.28515625" bestFit="1" customWidth="1"/>
    <col min="46" max="46" width="12.7109375" bestFit="1" customWidth="1"/>
    <col min="47" max="47" width="15.7109375" bestFit="1" customWidth="1"/>
    <col min="48" max="48" width="12.28515625" bestFit="1" customWidth="1"/>
    <col min="49" max="49" width="13.85546875" bestFit="1" customWidth="1"/>
    <col min="50" max="50" width="12.7109375" bestFit="1" customWidth="1"/>
    <col min="51" max="51" width="15.85546875" bestFit="1" customWidth="1"/>
    <col min="52" max="52" width="12.42578125" bestFit="1" customWidth="1"/>
    <col min="53" max="53" width="14" bestFit="1" customWidth="1"/>
    <col min="54" max="54" width="13" bestFit="1" customWidth="1"/>
    <col min="55" max="55" width="16.140625" bestFit="1" customWidth="1"/>
    <col min="56" max="56" width="12.7109375" bestFit="1" customWidth="1"/>
    <col min="57" max="57" width="14.28515625" bestFit="1" customWidth="1"/>
    <col min="58" max="58" width="13" bestFit="1" customWidth="1"/>
    <col min="59" max="59" width="16.140625" bestFit="1" customWidth="1"/>
    <col min="60" max="60" width="12.7109375" bestFit="1" customWidth="1"/>
    <col min="61" max="61" width="14.28515625" bestFit="1" customWidth="1"/>
    <col min="62" max="62" width="17" bestFit="1" customWidth="1"/>
    <col min="63" max="63" width="20.28515625" bestFit="1" customWidth="1"/>
    <col min="64" max="64" width="16.7109375" bestFit="1" customWidth="1"/>
    <col min="65" max="65" width="14.28515625" bestFit="1" customWidth="1"/>
    <col min="66" max="66" width="20.42578125" bestFit="1" customWidth="1"/>
    <col min="67" max="67" width="15.85546875" bestFit="1" customWidth="1"/>
  </cols>
  <sheetData>
    <row r="1" spans="1:67" s="6" customFormat="1" x14ac:dyDescent="0.25">
      <c r="A1" s="82" t="s">
        <v>20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</row>
    <row r="2" spans="1:67" s="6" customFormat="1" x14ac:dyDescent="0.25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3" t="s">
        <v>5</v>
      </c>
      <c r="O2" s="83"/>
      <c r="P2" s="83"/>
      <c r="Q2" s="83"/>
      <c r="R2" s="83" t="s">
        <v>6</v>
      </c>
      <c r="S2" s="83"/>
      <c r="T2" s="83"/>
      <c r="U2" s="83"/>
      <c r="V2" s="83" t="s">
        <v>7</v>
      </c>
      <c r="W2" s="83"/>
      <c r="X2" s="83"/>
      <c r="Y2" s="83"/>
      <c r="Z2" s="83" t="s">
        <v>8</v>
      </c>
      <c r="AA2" s="83"/>
      <c r="AB2" s="83"/>
      <c r="AC2" s="83"/>
      <c r="AD2" s="83" t="s">
        <v>9</v>
      </c>
      <c r="AE2" s="83"/>
      <c r="AF2" s="83"/>
      <c r="AG2" s="83"/>
      <c r="AH2" s="83" t="s">
        <v>10</v>
      </c>
      <c r="AI2" s="83"/>
      <c r="AJ2" s="83"/>
      <c r="AK2" s="83"/>
      <c r="AL2" s="83" t="s">
        <v>11</v>
      </c>
      <c r="AM2" s="83"/>
      <c r="AN2" s="83"/>
      <c r="AO2" s="83"/>
      <c r="AP2" s="83" t="s">
        <v>12</v>
      </c>
      <c r="AQ2" s="83"/>
      <c r="AR2" s="83"/>
      <c r="AS2" s="83"/>
      <c r="AT2" s="83" t="s">
        <v>13</v>
      </c>
      <c r="AU2" s="83"/>
      <c r="AV2" s="83"/>
      <c r="AW2" s="83"/>
      <c r="AX2" s="83" t="s">
        <v>14</v>
      </c>
      <c r="AY2" s="83"/>
      <c r="AZ2" s="83"/>
      <c r="BA2" s="83"/>
      <c r="BB2" s="83" t="s">
        <v>15</v>
      </c>
      <c r="BC2" s="83"/>
      <c r="BD2" s="83"/>
      <c r="BE2" s="83"/>
      <c r="BF2" s="83" t="s">
        <v>16</v>
      </c>
      <c r="BG2" s="83"/>
      <c r="BH2" s="83"/>
      <c r="BI2" s="84"/>
      <c r="BJ2" s="85" t="s">
        <v>21</v>
      </c>
      <c r="BK2" s="86"/>
      <c r="BL2" s="86"/>
      <c r="BM2" s="86"/>
      <c r="BN2" s="86"/>
      <c r="BO2" s="87"/>
    </row>
    <row r="3" spans="1:67" s="22" customFormat="1" ht="22.5" x14ac:dyDescent="0.25">
      <c r="A3" s="15" t="s">
        <v>22</v>
      </c>
      <c r="B3" s="15" t="s">
        <v>0</v>
      </c>
      <c r="C3" s="15" t="s">
        <v>258</v>
      </c>
      <c r="D3" s="15" t="s">
        <v>23</v>
      </c>
      <c r="E3" s="15" t="s">
        <v>17</v>
      </c>
      <c r="F3" s="15" t="s">
        <v>24</v>
      </c>
      <c r="G3" s="15" t="s">
        <v>25</v>
      </c>
      <c r="H3" s="15" t="s">
        <v>26</v>
      </c>
      <c r="I3" s="15" t="s">
        <v>27</v>
      </c>
      <c r="J3" s="15" t="s">
        <v>28</v>
      </c>
      <c r="K3" s="15" t="s">
        <v>29</v>
      </c>
      <c r="L3" s="15" t="s">
        <v>30</v>
      </c>
      <c r="M3" s="15" t="s">
        <v>31</v>
      </c>
      <c r="N3" s="16" t="s">
        <v>32</v>
      </c>
      <c r="O3" s="17" t="s">
        <v>33</v>
      </c>
      <c r="P3" s="18" t="s">
        <v>34</v>
      </c>
      <c r="Q3" s="19" t="s">
        <v>35</v>
      </c>
      <c r="R3" s="16" t="s">
        <v>36</v>
      </c>
      <c r="S3" s="17" t="s">
        <v>37</v>
      </c>
      <c r="T3" s="18" t="s">
        <v>38</v>
      </c>
      <c r="U3" s="19" t="s">
        <v>39</v>
      </c>
      <c r="V3" s="16" t="s">
        <v>40</v>
      </c>
      <c r="W3" s="17" t="s">
        <v>41</v>
      </c>
      <c r="X3" s="18" t="s">
        <v>42</v>
      </c>
      <c r="Y3" s="19" t="s">
        <v>43</v>
      </c>
      <c r="Z3" s="16" t="s">
        <v>44</v>
      </c>
      <c r="AA3" s="17" t="s">
        <v>45</v>
      </c>
      <c r="AB3" s="18" t="s">
        <v>46</v>
      </c>
      <c r="AC3" s="19" t="s">
        <v>47</v>
      </c>
      <c r="AD3" s="16" t="s">
        <v>48</v>
      </c>
      <c r="AE3" s="17" t="s">
        <v>49</v>
      </c>
      <c r="AF3" s="18" t="s">
        <v>50</v>
      </c>
      <c r="AG3" s="19" t="s">
        <v>51</v>
      </c>
      <c r="AH3" s="16" t="s">
        <v>52</v>
      </c>
      <c r="AI3" s="17" t="s">
        <v>53</v>
      </c>
      <c r="AJ3" s="18" t="s">
        <v>54</v>
      </c>
      <c r="AK3" s="19" t="s">
        <v>55</v>
      </c>
      <c r="AL3" s="16" t="s">
        <v>56</v>
      </c>
      <c r="AM3" s="17" t="s">
        <v>57</v>
      </c>
      <c r="AN3" s="18" t="s">
        <v>58</v>
      </c>
      <c r="AO3" s="19" t="s">
        <v>59</v>
      </c>
      <c r="AP3" s="16" t="s">
        <v>60</v>
      </c>
      <c r="AQ3" s="17" t="s">
        <v>61</v>
      </c>
      <c r="AR3" s="18" t="s">
        <v>62</v>
      </c>
      <c r="AS3" s="19" t="s">
        <v>63</v>
      </c>
      <c r="AT3" s="16" t="s">
        <v>64</v>
      </c>
      <c r="AU3" s="17" t="s">
        <v>65</v>
      </c>
      <c r="AV3" s="18" t="s">
        <v>66</v>
      </c>
      <c r="AW3" s="19" t="s">
        <v>67</v>
      </c>
      <c r="AX3" s="16" t="s">
        <v>68</v>
      </c>
      <c r="AY3" s="17" t="s">
        <v>69</v>
      </c>
      <c r="AZ3" s="18" t="s">
        <v>70</v>
      </c>
      <c r="BA3" s="19" t="s">
        <v>71</v>
      </c>
      <c r="BB3" s="16" t="s">
        <v>72</v>
      </c>
      <c r="BC3" s="17" t="s">
        <v>73</v>
      </c>
      <c r="BD3" s="18" t="s">
        <v>74</v>
      </c>
      <c r="BE3" s="19" t="s">
        <v>75</v>
      </c>
      <c r="BF3" s="16" t="s">
        <v>76</v>
      </c>
      <c r="BG3" s="17" t="s">
        <v>77</v>
      </c>
      <c r="BH3" s="18" t="s">
        <v>78</v>
      </c>
      <c r="BI3" s="19" t="s">
        <v>79</v>
      </c>
      <c r="BJ3" s="16" t="s">
        <v>80</v>
      </c>
      <c r="BK3" s="17" t="s">
        <v>81</v>
      </c>
      <c r="BL3" s="18" t="s">
        <v>82</v>
      </c>
      <c r="BM3" s="19" t="s">
        <v>83</v>
      </c>
      <c r="BN3" s="20" t="s">
        <v>84</v>
      </c>
      <c r="BO3" s="21" t="s">
        <v>85</v>
      </c>
    </row>
    <row r="4" spans="1:67" x14ac:dyDescent="0.25">
      <c r="A4" s="4">
        <v>2026</v>
      </c>
      <c r="B4" s="2" t="s">
        <v>173</v>
      </c>
      <c r="C4" s="2"/>
      <c r="D4" s="2" t="s">
        <v>93</v>
      </c>
      <c r="E4" s="2" t="s">
        <v>1</v>
      </c>
      <c r="F4" s="4" t="s">
        <v>152</v>
      </c>
      <c r="G4" s="2" t="s">
        <v>149</v>
      </c>
      <c r="H4" s="2" t="s">
        <v>129</v>
      </c>
      <c r="I4" s="2" t="s">
        <v>95</v>
      </c>
      <c r="J4" s="2" t="s">
        <v>86</v>
      </c>
      <c r="K4" s="2" t="s">
        <v>96</v>
      </c>
      <c r="L4" s="2" t="s">
        <v>88</v>
      </c>
      <c r="M4" s="4"/>
      <c r="N4" s="51">
        <v>77120</v>
      </c>
      <c r="O4" s="2">
        <v>54999</v>
      </c>
      <c r="P4" s="3">
        <f t="shared" ref="P4:P26" si="0">O4-N4</f>
        <v>-22121</v>
      </c>
      <c r="Q4" s="5">
        <f t="shared" ref="Q4:Q26" si="1">IFERROR((O4-N4)/N4,"-")</f>
        <v>-0.28683869294605807</v>
      </c>
      <c r="R4" s="2">
        <v>0</v>
      </c>
      <c r="S4" s="2">
        <v>40504</v>
      </c>
      <c r="T4" s="3">
        <f t="shared" ref="T4:T26" si="2">S4-R4</f>
        <v>40504</v>
      </c>
      <c r="U4" s="5" t="str">
        <f t="shared" ref="U4:U26" si="3">IFERROR((S4-R4)/R4,"-")</f>
        <v>-</v>
      </c>
      <c r="V4" s="67">
        <v>0</v>
      </c>
      <c r="W4" s="2">
        <v>0</v>
      </c>
      <c r="X4" s="3">
        <f t="shared" ref="X4:X26" si="4">W4-V4</f>
        <v>0</v>
      </c>
      <c r="Y4" s="5" t="str">
        <f t="shared" ref="Y4:Y26" si="5">IFERROR((W4-V4)/V4,"-")</f>
        <v>-</v>
      </c>
      <c r="Z4" s="2">
        <v>0</v>
      </c>
      <c r="AA4" s="2">
        <v>0</v>
      </c>
      <c r="AB4" s="3">
        <f t="shared" ref="AB4:AB26" si="6">AA4-Z4</f>
        <v>0</v>
      </c>
      <c r="AC4" s="5" t="str">
        <f t="shared" ref="AC4:AC26" si="7">IFERROR((AA4-Z4)/Z4,"-")</f>
        <v>-</v>
      </c>
      <c r="AD4" s="2">
        <v>81940</v>
      </c>
      <c r="AE4" s="2">
        <v>0</v>
      </c>
      <c r="AF4" s="3">
        <f t="shared" ref="AF4:AF26" si="8">AE4-AD4</f>
        <v>-81940</v>
      </c>
      <c r="AG4" s="5">
        <f t="shared" ref="AG4:AG26" si="9">IFERROR((AE4-AD4)/AD4,"-")</f>
        <v>-1</v>
      </c>
      <c r="AH4" s="2">
        <v>0</v>
      </c>
      <c r="AI4" s="2">
        <v>0</v>
      </c>
      <c r="AJ4" s="3">
        <f t="shared" ref="AJ4:AJ26" si="10">AI4-AH4</f>
        <v>0</v>
      </c>
      <c r="AK4" s="5" t="str">
        <f t="shared" ref="AK4:AK26" si="11">IFERROR((AI4-AH4)/AH4,"-")</f>
        <v>-</v>
      </c>
      <c r="AL4" s="2">
        <v>0</v>
      </c>
      <c r="AM4" s="2">
        <v>0</v>
      </c>
      <c r="AN4" s="3">
        <f t="shared" ref="AN4:AN26" si="12">AM4-AL4</f>
        <v>0</v>
      </c>
      <c r="AO4" s="5" t="str">
        <f t="shared" ref="AO4:AO26" si="13">IFERROR((AM4-AL4)/AL4,"-")</f>
        <v>-</v>
      </c>
      <c r="AP4" s="2">
        <v>0</v>
      </c>
      <c r="AQ4" s="2">
        <v>0</v>
      </c>
      <c r="AR4" s="3">
        <f t="shared" ref="AR4:AR26" si="14">AQ4-AP4</f>
        <v>0</v>
      </c>
      <c r="AS4" s="5" t="str">
        <f t="shared" ref="AS4:AS26" si="15">IFERROR((AQ4-AP4)/AP4,"-")</f>
        <v>-</v>
      </c>
      <c r="AT4" s="2">
        <v>0</v>
      </c>
      <c r="AU4" s="2">
        <v>0</v>
      </c>
      <c r="AV4" s="3">
        <f t="shared" ref="AV4:AV26" si="16">AU4-AT4</f>
        <v>0</v>
      </c>
      <c r="AW4" s="5" t="str">
        <f t="shared" ref="AW4:AW26" si="17">IFERROR((AU4-AT4)/AT4,"-")</f>
        <v>-</v>
      </c>
      <c r="AX4" s="2">
        <v>0</v>
      </c>
      <c r="AY4" s="2">
        <v>0</v>
      </c>
      <c r="AZ4" s="3">
        <f t="shared" ref="AZ4:AZ26" si="18">AY4-AX4</f>
        <v>0</v>
      </c>
      <c r="BA4" s="5" t="str">
        <f t="shared" ref="BA4:BA26" si="19">IFERROR((AY4-AX4)/AX4,"-")</f>
        <v>-</v>
      </c>
      <c r="BB4" s="2">
        <v>0</v>
      </c>
      <c r="BC4" s="2">
        <v>0</v>
      </c>
      <c r="BD4" s="3">
        <f t="shared" ref="BD4:BD26" si="20">BC4-BB4</f>
        <v>0</v>
      </c>
      <c r="BE4" s="5" t="str">
        <f t="shared" ref="BE4:BE26" si="21">IFERROR((BC4-BB4)/BB4,"-")</f>
        <v>-</v>
      </c>
      <c r="BF4" s="2">
        <v>0</v>
      </c>
      <c r="BG4" s="2">
        <v>0</v>
      </c>
      <c r="BH4" s="3">
        <f t="shared" ref="BH4:BH26" si="22">BG4-BF4</f>
        <v>0</v>
      </c>
      <c r="BI4" s="5" t="str">
        <f t="shared" ref="BI4:BI26" si="23">IFERROR((BG4-BF4)/BF4,"-")</f>
        <v>-</v>
      </c>
      <c r="BJ4" s="34">
        <f>SUM(Tabela2[[#This Row],[Orçado
Dez]]+Tabela2[[#This Row],[Orçado
Nov]]+Tabela2[[#This Row],[Orçado
Out]]+Tabela2[[#This Row],[Orçado
Set]]+Tabela2[[#This Row],[Orçado
Ago]]+Tabela2[[#This Row],[Orçado
Jul]]+Tabela2[[#This Row],[Orçado
Jun]]+Tabela2[[#This Row],[Orçado
Mai]]+Tabela2[[#This Row],[Orçado
Abr]]+Tabela2[[#This Row],[Orçado
Mar]]+Tabela2[[#This Row],[Orçado
Fev]]+Tabela2[[#This Row],[Orçado
Jan]])</f>
        <v>159060</v>
      </c>
      <c r="BK4" s="34">
        <f t="shared" ref="BK4:BK26" si="24">SUM(O4,S4,W4,AA4,AE4,AI4,AM4,AQ4,AU4,AY4,BC4,BG4)</f>
        <v>95503</v>
      </c>
      <c r="BL4" s="34">
        <f t="shared" ref="BL4:BL26" si="25">BK4-BJ4</f>
        <v>-63557</v>
      </c>
      <c r="BM4" s="5">
        <f t="shared" ref="BM4:BM26" si="26">IFERROR((BK4-BJ4)/BJ4,"-")</f>
        <v>-0.39957877530491637</v>
      </c>
      <c r="BN4" s="43">
        <f>Tabela2[[#This Row],[Total Orçado
Ano]]-Tabela2[[#This Row],[Total Realizado
Ano]]</f>
        <v>63557</v>
      </c>
      <c r="BO4" s="34">
        <f t="shared" ref="BO4:BO26" si="27">BK4+BN4</f>
        <v>159060</v>
      </c>
    </row>
    <row r="5" spans="1:67" x14ac:dyDescent="0.25">
      <c r="A5" s="4">
        <v>2026</v>
      </c>
      <c r="B5" s="2" t="s">
        <v>173</v>
      </c>
      <c r="C5" s="2"/>
      <c r="D5" s="2" t="s">
        <v>93</v>
      </c>
      <c r="E5" s="2" t="s">
        <v>1</v>
      </c>
      <c r="F5" s="4" t="s">
        <v>153</v>
      </c>
      <c r="G5" s="2" t="s">
        <v>150</v>
      </c>
      <c r="H5" s="2" t="s">
        <v>129</v>
      </c>
      <c r="I5" s="2" t="s">
        <v>95</v>
      </c>
      <c r="J5" s="2" t="s">
        <v>86</v>
      </c>
      <c r="K5" s="2" t="s">
        <v>96</v>
      </c>
      <c r="L5" s="2" t="s">
        <v>88</v>
      </c>
      <c r="M5" s="4"/>
      <c r="N5" s="51">
        <v>0</v>
      </c>
      <c r="O5" s="2">
        <v>0</v>
      </c>
      <c r="P5" s="3">
        <f t="shared" si="0"/>
        <v>0</v>
      </c>
      <c r="Q5" s="5" t="str">
        <f t="shared" si="1"/>
        <v>-</v>
      </c>
      <c r="R5" s="2">
        <v>19000</v>
      </c>
      <c r="S5" s="2">
        <v>0</v>
      </c>
      <c r="T5" s="3">
        <f t="shared" si="2"/>
        <v>-19000</v>
      </c>
      <c r="U5" s="5">
        <f t="shared" si="3"/>
        <v>-1</v>
      </c>
      <c r="V5" s="67">
        <v>0</v>
      </c>
      <c r="W5" s="2">
        <v>0</v>
      </c>
      <c r="X5" s="3">
        <f t="shared" si="4"/>
        <v>0</v>
      </c>
      <c r="Y5" s="5" t="str">
        <f t="shared" si="5"/>
        <v>-</v>
      </c>
      <c r="Z5" s="2">
        <v>19000</v>
      </c>
      <c r="AA5" s="2">
        <v>0</v>
      </c>
      <c r="AB5" s="3">
        <f t="shared" si="6"/>
        <v>-19000</v>
      </c>
      <c r="AC5" s="5">
        <f t="shared" si="7"/>
        <v>-1</v>
      </c>
      <c r="AD5" s="2">
        <v>0</v>
      </c>
      <c r="AE5" s="2">
        <v>0</v>
      </c>
      <c r="AF5" s="3">
        <f t="shared" si="8"/>
        <v>0</v>
      </c>
      <c r="AG5" s="5" t="str">
        <f t="shared" si="9"/>
        <v>-</v>
      </c>
      <c r="AH5" s="2">
        <v>19000</v>
      </c>
      <c r="AI5" s="2">
        <v>0</v>
      </c>
      <c r="AJ5" s="3">
        <f t="shared" si="10"/>
        <v>-19000</v>
      </c>
      <c r="AK5" s="5">
        <f t="shared" si="11"/>
        <v>-1</v>
      </c>
      <c r="AL5" s="2">
        <v>0</v>
      </c>
      <c r="AM5" s="2">
        <v>0</v>
      </c>
      <c r="AN5" s="3">
        <f t="shared" si="12"/>
        <v>0</v>
      </c>
      <c r="AO5" s="5" t="str">
        <f t="shared" si="13"/>
        <v>-</v>
      </c>
      <c r="AP5" s="2">
        <v>19000</v>
      </c>
      <c r="AQ5" s="2">
        <v>0</v>
      </c>
      <c r="AR5" s="3">
        <f t="shared" si="14"/>
        <v>-19000</v>
      </c>
      <c r="AS5" s="5">
        <f t="shared" si="15"/>
        <v>-1</v>
      </c>
      <c r="AT5" s="2">
        <v>0</v>
      </c>
      <c r="AU5" s="2">
        <v>0</v>
      </c>
      <c r="AV5" s="3">
        <f t="shared" si="16"/>
        <v>0</v>
      </c>
      <c r="AW5" s="5" t="str">
        <f t="shared" si="17"/>
        <v>-</v>
      </c>
      <c r="AX5" s="2">
        <v>19000</v>
      </c>
      <c r="AY5" s="2">
        <v>0</v>
      </c>
      <c r="AZ5" s="3">
        <f t="shared" si="18"/>
        <v>-19000</v>
      </c>
      <c r="BA5" s="5">
        <f t="shared" si="19"/>
        <v>-1</v>
      </c>
      <c r="BB5" s="2">
        <v>0</v>
      </c>
      <c r="BC5" s="2">
        <v>0</v>
      </c>
      <c r="BD5" s="3">
        <f t="shared" si="20"/>
        <v>0</v>
      </c>
      <c r="BE5" s="5" t="str">
        <f t="shared" si="21"/>
        <v>-</v>
      </c>
      <c r="BF5" s="2">
        <v>19000</v>
      </c>
      <c r="BG5" s="2">
        <v>0</v>
      </c>
      <c r="BH5" s="3">
        <f t="shared" si="22"/>
        <v>-19000</v>
      </c>
      <c r="BI5" s="5">
        <f t="shared" si="23"/>
        <v>-1</v>
      </c>
      <c r="BJ5" s="34">
        <f>SUM(Tabela2[[#This Row],[Orçado
Dez]]+Tabela2[[#This Row],[Orçado
Nov]]+Tabela2[[#This Row],[Orçado
Out]]+Tabela2[[#This Row],[Orçado
Set]]+Tabela2[[#This Row],[Orçado
Ago]]+Tabela2[[#This Row],[Orçado
Jul]]+Tabela2[[#This Row],[Orçado
Jun]]+Tabela2[[#This Row],[Orçado
Mai]]+Tabela2[[#This Row],[Orçado
Abr]]+Tabela2[[#This Row],[Orçado
Mar]]+Tabela2[[#This Row],[Orçado
Fev]]+Tabela2[[#This Row],[Orçado
Jan]])</f>
        <v>114000</v>
      </c>
      <c r="BK5" s="34">
        <f t="shared" si="24"/>
        <v>0</v>
      </c>
      <c r="BL5" s="34">
        <f t="shared" si="25"/>
        <v>-114000</v>
      </c>
      <c r="BM5" s="5">
        <f t="shared" si="26"/>
        <v>-1</v>
      </c>
      <c r="BN5" s="43">
        <f>Tabela2[[#This Row],[Total Orçado
Ano]]-Tabela2[[#This Row],[Total Realizado
Ano]]</f>
        <v>114000</v>
      </c>
      <c r="BO5" s="34">
        <f t="shared" si="27"/>
        <v>114000</v>
      </c>
    </row>
    <row r="6" spans="1:67" x14ac:dyDescent="0.25">
      <c r="A6" s="4">
        <v>2026</v>
      </c>
      <c r="B6" s="2" t="s">
        <v>173</v>
      </c>
      <c r="C6" s="2"/>
      <c r="D6" s="2" t="s">
        <v>93</v>
      </c>
      <c r="E6" s="2" t="s">
        <v>1</v>
      </c>
      <c r="F6" s="4" t="s">
        <v>151</v>
      </c>
      <c r="G6" s="2" t="s">
        <v>170</v>
      </c>
      <c r="H6" s="2" t="s">
        <v>129</v>
      </c>
      <c r="I6" s="2" t="s">
        <v>95</v>
      </c>
      <c r="J6" s="2" t="s">
        <v>86</v>
      </c>
      <c r="K6" s="2" t="s">
        <v>96</v>
      </c>
      <c r="L6" s="2" t="s">
        <v>88</v>
      </c>
      <c r="M6" s="4"/>
      <c r="N6" s="51">
        <v>45000</v>
      </c>
      <c r="O6" s="2">
        <v>0</v>
      </c>
      <c r="P6" s="3">
        <f t="shared" si="0"/>
        <v>-45000</v>
      </c>
      <c r="Q6" s="5">
        <f t="shared" si="1"/>
        <v>-1</v>
      </c>
      <c r="R6" s="2">
        <v>0</v>
      </c>
      <c r="S6" s="2">
        <v>0</v>
      </c>
      <c r="T6" s="3">
        <f t="shared" si="2"/>
        <v>0</v>
      </c>
      <c r="U6" s="5" t="str">
        <f t="shared" si="3"/>
        <v>-</v>
      </c>
      <c r="V6" s="67">
        <v>0</v>
      </c>
      <c r="W6" s="2">
        <v>0</v>
      </c>
      <c r="X6" s="3">
        <f t="shared" si="4"/>
        <v>0</v>
      </c>
      <c r="Y6" s="5" t="str">
        <f t="shared" si="5"/>
        <v>-</v>
      </c>
      <c r="Z6" s="2">
        <v>0</v>
      </c>
      <c r="AA6" s="2">
        <v>0</v>
      </c>
      <c r="AB6" s="3">
        <f t="shared" si="6"/>
        <v>0</v>
      </c>
      <c r="AC6" s="5" t="str">
        <f t="shared" si="7"/>
        <v>-</v>
      </c>
      <c r="AD6" s="2">
        <v>0</v>
      </c>
      <c r="AE6" s="2">
        <v>0</v>
      </c>
      <c r="AF6" s="3">
        <f t="shared" si="8"/>
        <v>0</v>
      </c>
      <c r="AG6" s="5" t="str">
        <f t="shared" si="9"/>
        <v>-</v>
      </c>
      <c r="AH6" s="2">
        <v>0</v>
      </c>
      <c r="AI6" s="2">
        <v>0</v>
      </c>
      <c r="AJ6" s="3">
        <f t="shared" si="10"/>
        <v>0</v>
      </c>
      <c r="AK6" s="5" t="str">
        <f t="shared" si="11"/>
        <v>-</v>
      </c>
      <c r="AL6" s="2">
        <v>0</v>
      </c>
      <c r="AM6" s="2">
        <v>0</v>
      </c>
      <c r="AN6" s="3">
        <f t="shared" si="12"/>
        <v>0</v>
      </c>
      <c r="AO6" s="5" t="str">
        <f t="shared" si="13"/>
        <v>-</v>
      </c>
      <c r="AP6" s="2">
        <v>0</v>
      </c>
      <c r="AQ6" s="2">
        <v>0</v>
      </c>
      <c r="AR6" s="3">
        <f t="shared" si="14"/>
        <v>0</v>
      </c>
      <c r="AS6" s="5" t="str">
        <f t="shared" si="15"/>
        <v>-</v>
      </c>
      <c r="AT6" s="2">
        <v>0</v>
      </c>
      <c r="AU6" s="2">
        <v>0</v>
      </c>
      <c r="AV6" s="3">
        <f t="shared" si="16"/>
        <v>0</v>
      </c>
      <c r="AW6" s="5" t="str">
        <f t="shared" si="17"/>
        <v>-</v>
      </c>
      <c r="AX6" s="2">
        <v>0</v>
      </c>
      <c r="AY6" s="2">
        <v>0</v>
      </c>
      <c r="AZ6" s="3">
        <f t="shared" si="18"/>
        <v>0</v>
      </c>
      <c r="BA6" s="5" t="str">
        <f t="shared" si="19"/>
        <v>-</v>
      </c>
      <c r="BB6" s="2">
        <v>0</v>
      </c>
      <c r="BC6" s="2">
        <v>0</v>
      </c>
      <c r="BD6" s="3">
        <f t="shared" si="20"/>
        <v>0</v>
      </c>
      <c r="BE6" s="5" t="str">
        <f t="shared" si="21"/>
        <v>-</v>
      </c>
      <c r="BF6" s="2">
        <v>0</v>
      </c>
      <c r="BG6" s="2">
        <v>0</v>
      </c>
      <c r="BH6" s="3">
        <f t="shared" si="22"/>
        <v>0</v>
      </c>
      <c r="BI6" s="5" t="str">
        <f t="shared" si="23"/>
        <v>-</v>
      </c>
      <c r="BJ6" s="34">
        <f>SUM(Tabela2[[#This Row],[Orçado
Dez]]+Tabela2[[#This Row],[Orçado
Nov]]+Tabela2[[#This Row],[Orçado
Out]]+Tabela2[[#This Row],[Orçado
Set]]+Tabela2[[#This Row],[Orçado
Ago]]+Tabela2[[#This Row],[Orçado
Jul]]+Tabela2[[#This Row],[Orçado
Jun]]+Tabela2[[#This Row],[Orçado
Mai]]+Tabela2[[#This Row],[Orçado
Abr]]+Tabela2[[#This Row],[Orçado
Mar]]+Tabela2[[#This Row],[Orçado
Fev]]+Tabela2[[#This Row],[Orçado
Jan]])</f>
        <v>45000</v>
      </c>
      <c r="BK6" s="34">
        <f t="shared" si="24"/>
        <v>0</v>
      </c>
      <c r="BL6" s="34">
        <f t="shared" si="25"/>
        <v>-45000</v>
      </c>
      <c r="BM6" s="5">
        <f t="shared" si="26"/>
        <v>-1</v>
      </c>
      <c r="BN6" s="43">
        <f>Tabela2[[#This Row],[Total Orçado
Ano]]-Tabela2[[#This Row],[Total Realizado
Ano]]</f>
        <v>45000</v>
      </c>
      <c r="BO6" s="34">
        <f t="shared" si="27"/>
        <v>45000</v>
      </c>
    </row>
    <row r="7" spans="1:67" x14ac:dyDescent="0.25">
      <c r="A7" s="4">
        <v>2026</v>
      </c>
      <c r="B7" s="2" t="s">
        <v>175</v>
      </c>
      <c r="C7" s="2"/>
      <c r="D7" s="2" t="s">
        <v>93</v>
      </c>
      <c r="E7" s="2" t="s">
        <v>1</v>
      </c>
      <c r="F7" s="4" t="s">
        <v>151</v>
      </c>
      <c r="G7" s="2" t="s">
        <v>171</v>
      </c>
      <c r="H7" s="2" t="s">
        <v>129</v>
      </c>
      <c r="I7" s="2" t="s">
        <v>95</v>
      </c>
      <c r="J7" s="2" t="s">
        <v>86</v>
      </c>
      <c r="K7" s="2" t="s">
        <v>96</v>
      </c>
      <c r="L7" s="2" t="s">
        <v>88</v>
      </c>
      <c r="M7" s="4"/>
      <c r="N7" s="52">
        <v>384000</v>
      </c>
      <c r="O7" s="2">
        <v>0</v>
      </c>
      <c r="P7" s="3">
        <f t="shared" si="0"/>
        <v>-384000</v>
      </c>
      <c r="Q7" s="5">
        <f t="shared" si="1"/>
        <v>-1</v>
      </c>
      <c r="R7" s="2">
        <v>0</v>
      </c>
      <c r="S7" s="2">
        <v>0</v>
      </c>
      <c r="T7" s="3">
        <f t="shared" si="2"/>
        <v>0</v>
      </c>
      <c r="U7" s="5" t="str">
        <f t="shared" si="3"/>
        <v>-</v>
      </c>
      <c r="V7" s="67">
        <v>0</v>
      </c>
      <c r="W7" s="2">
        <v>0</v>
      </c>
      <c r="X7" s="3">
        <f t="shared" si="4"/>
        <v>0</v>
      </c>
      <c r="Y7" s="5" t="str">
        <f t="shared" si="5"/>
        <v>-</v>
      </c>
      <c r="Z7" s="2">
        <v>0</v>
      </c>
      <c r="AA7" s="2">
        <v>0</v>
      </c>
      <c r="AB7" s="3">
        <f t="shared" si="6"/>
        <v>0</v>
      </c>
      <c r="AC7" s="5" t="str">
        <f t="shared" si="7"/>
        <v>-</v>
      </c>
      <c r="AD7" s="2">
        <v>0</v>
      </c>
      <c r="AE7" s="2">
        <v>0</v>
      </c>
      <c r="AF7" s="3">
        <f t="shared" si="8"/>
        <v>0</v>
      </c>
      <c r="AG7" s="5" t="str">
        <f t="shared" si="9"/>
        <v>-</v>
      </c>
      <c r="AH7" s="2">
        <v>0</v>
      </c>
      <c r="AI7" s="2">
        <v>0</v>
      </c>
      <c r="AJ7" s="3">
        <f t="shared" si="10"/>
        <v>0</v>
      </c>
      <c r="AK7" s="5" t="str">
        <f t="shared" si="11"/>
        <v>-</v>
      </c>
      <c r="AL7" s="2">
        <v>0</v>
      </c>
      <c r="AM7" s="2">
        <v>0</v>
      </c>
      <c r="AN7" s="3">
        <f t="shared" si="12"/>
        <v>0</v>
      </c>
      <c r="AO7" s="5" t="str">
        <f t="shared" si="13"/>
        <v>-</v>
      </c>
      <c r="AP7" s="2">
        <v>0</v>
      </c>
      <c r="AQ7" s="2">
        <v>0</v>
      </c>
      <c r="AR7" s="3">
        <f t="shared" si="14"/>
        <v>0</v>
      </c>
      <c r="AS7" s="5" t="str">
        <f t="shared" si="15"/>
        <v>-</v>
      </c>
      <c r="AT7" s="2">
        <v>0</v>
      </c>
      <c r="AU7" s="2">
        <v>0</v>
      </c>
      <c r="AV7" s="3">
        <f t="shared" si="16"/>
        <v>0</v>
      </c>
      <c r="AW7" s="5" t="str">
        <f t="shared" si="17"/>
        <v>-</v>
      </c>
      <c r="AX7" s="2">
        <v>0</v>
      </c>
      <c r="AY7" s="2">
        <v>0</v>
      </c>
      <c r="AZ7" s="3">
        <f t="shared" si="18"/>
        <v>0</v>
      </c>
      <c r="BA7" s="5" t="str">
        <f t="shared" si="19"/>
        <v>-</v>
      </c>
      <c r="BB7" s="2">
        <v>0</v>
      </c>
      <c r="BC7" s="2">
        <v>0</v>
      </c>
      <c r="BD7" s="3">
        <f t="shared" si="20"/>
        <v>0</v>
      </c>
      <c r="BE7" s="5" t="str">
        <f t="shared" si="21"/>
        <v>-</v>
      </c>
      <c r="BF7" s="2">
        <v>0</v>
      </c>
      <c r="BG7" s="2">
        <v>0</v>
      </c>
      <c r="BH7" s="3">
        <f t="shared" si="22"/>
        <v>0</v>
      </c>
      <c r="BI7" s="5" t="str">
        <f t="shared" si="23"/>
        <v>-</v>
      </c>
      <c r="BJ7" s="34">
        <f>SUM(Tabela2[[#This Row],[Orçado
Dez]]+Tabela2[[#This Row],[Orçado
Nov]]+Tabela2[[#This Row],[Orçado
Out]]+Tabela2[[#This Row],[Orçado
Set]]+Tabela2[[#This Row],[Orçado
Ago]]+Tabela2[[#This Row],[Orçado
Jul]]+Tabela2[[#This Row],[Orçado
Jun]]+Tabela2[[#This Row],[Orçado
Mai]]+Tabela2[[#This Row],[Orçado
Abr]]+Tabela2[[#This Row],[Orçado
Mar]]+Tabela2[[#This Row],[Orçado
Fev]]+Tabela2[[#This Row],[Orçado
Jan]])</f>
        <v>384000</v>
      </c>
      <c r="BK7" s="3">
        <f t="shared" si="24"/>
        <v>0</v>
      </c>
      <c r="BL7" s="3">
        <f t="shared" si="25"/>
        <v>-384000</v>
      </c>
      <c r="BM7" s="5">
        <f t="shared" si="26"/>
        <v>-1</v>
      </c>
      <c r="BN7" s="1">
        <f>Tabela2[[#This Row],[Total Orçado
Ano]]-Tabela2[[#This Row],[Total Realizado
Ano]]</f>
        <v>384000</v>
      </c>
      <c r="BO7" s="3">
        <f t="shared" si="27"/>
        <v>384000</v>
      </c>
    </row>
    <row r="8" spans="1:67" x14ac:dyDescent="0.25">
      <c r="A8" s="4">
        <v>2027</v>
      </c>
      <c r="B8" s="2" t="s">
        <v>175</v>
      </c>
      <c r="C8" s="2"/>
      <c r="D8" s="2" t="s">
        <v>93</v>
      </c>
      <c r="E8" s="2" t="s">
        <v>1</v>
      </c>
      <c r="F8" s="4" t="s">
        <v>167</v>
      </c>
      <c r="G8" s="2" t="s">
        <v>146</v>
      </c>
      <c r="H8" s="2" t="s">
        <v>129</v>
      </c>
      <c r="I8" s="2" t="s">
        <v>95</v>
      </c>
      <c r="J8" s="2" t="s">
        <v>86</v>
      </c>
      <c r="K8" s="2" t="s">
        <v>96</v>
      </c>
      <c r="L8" s="2" t="s">
        <v>88</v>
      </c>
      <c r="M8" s="4"/>
      <c r="N8" s="52">
        <v>305140</v>
      </c>
      <c r="O8" s="2">
        <v>0</v>
      </c>
      <c r="P8" s="3">
        <f t="shared" si="0"/>
        <v>-305140</v>
      </c>
      <c r="Q8" s="5">
        <f t="shared" si="1"/>
        <v>-1</v>
      </c>
      <c r="R8" s="2">
        <v>0</v>
      </c>
      <c r="S8" s="2">
        <v>0</v>
      </c>
      <c r="T8" s="3">
        <f t="shared" si="2"/>
        <v>0</v>
      </c>
      <c r="U8" s="5" t="str">
        <f t="shared" si="3"/>
        <v>-</v>
      </c>
      <c r="V8" s="67">
        <v>0</v>
      </c>
      <c r="W8" s="2">
        <v>0</v>
      </c>
      <c r="X8" s="3">
        <f t="shared" si="4"/>
        <v>0</v>
      </c>
      <c r="Y8" s="5" t="str">
        <f t="shared" si="5"/>
        <v>-</v>
      </c>
      <c r="Z8" s="2">
        <v>0</v>
      </c>
      <c r="AA8" s="2">
        <v>0</v>
      </c>
      <c r="AB8" s="3">
        <f t="shared" si="6"/>
        <v>0</v>
      </c>
      <c r="AC8" s="5" t="str">
        <f t="shared" si="7"/>
        <v>-</v>
      </c>
      <c r="AD8" s="2">
        <v>0</v>
      </c>
      <c r="AE8" s="2">
        <v>0</v>
      </c>
      <c r="AF8" s="3">
        <f t="shared" si="8"/>
        <v>0</v>
      </c>
      <c r="AG8" s="5" t="str">
        <f t="shared" si="9"/>
        <v>-</v>
      </c>
      <c r="AH8" s="2">
        <v>0</v>
      </c>
      <c r="AI8" s="2">
        <v>0</v>
      </c>
      <c r="AJ8" s="3">
        <f t="shared" si="10"/>
        <v>0</v>
      </c>
      <c r="AK8" s="5" t="str">
        <f t="shared" si="11"/>
        <v>-</v>
      </c>
      <c r="AL8" s="2">
        <v>0</v>
      </c>
      <c r="AM8" s="2">
        <v>0</v>
      </c>
      <c r="AN8" s="3">
        <f t="shared" si="12"/>
        <v>0</v>
      </c>
      <c r="AO8" s="5" t="str">
        <f t="shared" si="13"/>
        <v>-</v>
      </c>
      <c r="AP8" s="2">
        <v>0</v>
      </c>
      <c r="AQ8" s="2">
        <v>0</v>
      </c>
      <c r="AR8" s="3">
        <f t="shared" si="14"/>
        <v>0</v>
      </c>
      <c r="AS8" s="5" t="str">
        <f t="shared" si="15"/>
        <v>-</v>
      </c>
      <c r="AT8" s="2">
        <v>0</v>
      </c>
      <c r="AU8" s="2">
        <v>0</v>
      </c>
      <c r="AV8" s="3">
        <f t="shared" si="16"/>
        <v>0</v>
      </c>
      <c r="AW8" s="5" t="str">
        <f t="shared" si="17"/>
        <v>-</v>
      </c>
      <c r="AX8" s="2">
        <v>0</v>
      </c>
      <c r="AY8" s="2">
        <v>0</v>
      </c>
      <c r="AZ8" s="3">
        <f t="shared" si="18"/>
        <v>0</v>
      </c>
      <c r="BA8" s="5" t="str">
        <f t="shared" si="19"/>
        <v>-</v>
      </c>
      <c r="BB8" s="2">
        <v>0</v>
      </c>
      <c r="BC8" s="2">
        <v>0</v>
      </c>
      <c r="BD8" s="3">
        <f t="shared" si="20"/>
        <v>0</v>
      </c>
      <c r="BE8" s="5" t="str">
        <f t="shared" si="21"/>
        <v>-</v>
      </c>
      <c r="BF8" s="2">
        <v>0</v>
      </c>
      <c r="BG8" s="2">
        <v>0</v>
      </c>
      <c r="BH8" s="3">
        <f t="shared" si="22"/>
        <v>0</v>
      </c>
      <c r="BI8" s="5" t="str">
        <f t="shared" si="23"/>
        <v>-</v>
      </c>
      <c r="BJ8" s="34">
        <f>SUM(Tabela2[[#This Row],[Orçado
Dez]]+Tabela2[[#This Row],[Orçado
Nov]]+Tabela2[[#This Row],[Orçado
Out]]+Tabela2[[#This Row],[Orçado
Set]]+Tabela2[[#This Row],[Orçado
Ago]]+Tabela2[[#This Row],[Orçado
Jul]]+Tabela2[[#This Row],[Orçado
Jun]]+Tabela2[[#This Row],[Orçado
Mai]]+Tabela2[[#This Row],[Orçado
Abr]]+Tabela2[[#This Row],[Orçado
Mar]]+Tabela2[[#This Row],[Orçado
Fev]]+Tabela2[[#This Row],[Orçado
Jan]])</f>
        <v>305140</v>
      </c>
      <c r="BK8" s="3">
        <f t="shared" si="24"/>
        <v>0</v>
      </c>
      <c r="BL8" s="3">
        <f t="shared" si="25"/>
        <v>-305140</v>
      </c>
      <c r="BM8" s="5">
        <f t="shared" si="26"/>
        <v>-1</v>
      </c>
      <c r="BN8" s="1">
        <f>Tabela2[[#This Row],[Total Orçado
Ano]]-Tabela2[[#This Row],[Total Realizado
Ano]]</f>
        <v>305140</v>
      </c>
      <c r="BO8" s="3">
        <f t="shared" si="27"/>
        <v>305140</v>
      </c>
    </row>
    <row r="9" spans="1:67" x14ac:dyDescent="0.25">
      <c r="A9" s="4">
        <v>2026</v>
      </c>
      <c r="B9" s="2" t="s">
        <v>173</v>
      </c>
      <c r="C9" s="2"/>
      <c r="D9" s="2" t="s">
        <v>93</v>
      </c>
      <c r="E9" s="2" t="s">
        <v>1</v>
      </c>
      <c r="F9" s="4" t="s">
        <v>91</v>
      </c>
      <c r="G9" s="2" t="s">
        <v>172</v>
      </c>
      <c r="H9" s="2" t="s">
        <v>129</v>
      </c>
      <c r="I9" s="2" t="s">
        <v>95</v>
      </c>
      <c r="J9" s="2" t="s">
        <v>86</v>
      </c>
      <c r="K9" s="2" t="s">
        <v>96</v>
      </c>
      <c r="L9" s="2" t="s">
        <v>88</v>
      </c>
      <c r="M9" s="4"/>
      <c r="N9" s="51">
        <v>154000</v>
      </c>
      <c r="O9" s="2">
        <v>0</v>
      </c>
      <c r="P9" s="3">
        <f t="shared" si="0"/>
        <v>-154000</v>
      </c>
      <c r="Q9" s="5">
        <f t="shared" si="1"/>
        <v>-1</v>
      </c>
      <c r="R9" s="2">
        <v>0</v>
      </c>
      <c r="S9" s="2">
        <v>0</v>
      </c>
      <c r="T9" s="3">
        <f t="shared" si="2"/>
        <v>0</v>
      </c>
      <c r="U9" s="5" t="str">
        <f t="shared" si="3"/>
        <v>-</v>
      </c>
      <c r="V9" s="67">
        <v>0</v>
      </c>
      <c r="W9" s="2">
        <v>0</v>
      </c>
      <c r="X9" s="3">
        <f t="shared" si="4"/>
        <v>0</v>
      </c>
      <c r="Y9" s="5" t="str">
        <f t="shared" si="5"/>
        <v>-</v>
      </c>
      <c r="Z9" s="2">
        <v>0</v>
      </c>
      <c r="AA9" s="2">
        <v>0</v>
      </c>
      <c r="AB9" s="3">
        <f t="shared" si="6"/>
        <v>0</v>
      </c>
      <c r="AC9" s="5" t="str">
        <f t="shared" si="7"/>
        <v>-</v>
      </c>
      <c r="AD9" s="2">
        <v>0</v>
      </c>
      <c r="AE9" s="2">
        <v>0</v>
      </c>
      <c r="AF9" s="3">
        <f t="shared" si="8"/>
        <v>0</v>
      </c>
      <c r="AG9" s="5" t="str">
        <f t="shared" si="9"/>
        <v>-</v>
      </c>
      <c r="AH9" s="2">
        <v>0</v>
      </c>
      <c r="AI9" s="2">
        <v>0</v>
      </c>
      <c r="AJ9" s="3">
        <f t="shared" si="10"/>
        <v>0</v>
      </c>
      <c r="AK9" s="5" t="str">
        <f t="shared" si="11"/>
        <v>-</v>
      </c>
      <c r="AL9" s="2">
        <v>0</v>
      </c>
      <c r="AM9" s="2">
        <v>0</v>
      </c>
      <c r="AN9" s="3">
        <f t="shared" si="12"/>
        <v>0</v>
      </c>
      <c r="AO9" s="5" t="str">
        <f t="shared" si="13"/>
        <v>-</v>
      </c>
      <c r="AP9" s="2">
        <v>0</v>
      </c>
      <c r="AQ9" s="2">
        <v>0</v>
      </c>
      <c r="AR9" s="3">
        <f t="shared" si="14"/>
        <v>0</v>
      </c>
      <c r="AS9" s="5" t="str">
        <f t="shared" si="15"/>
        <v>-</v>
      </c>
      <c r="AT9" s="2">
        <v>0</v>
      </c>
      <c r="AU9" s="2">
        <v>0</v>
      </c>
      <c r="AV9" s="3">
        <f t="shared" si="16"/>
        <v>0</v>
      </c>
      <c r="AW9" s="5" t="str">
        <f t="shared" si="17"/>
        <v>-</v>
      </c>
      <c r="AX9" s="2">
        <v>0</v>
      </c>
      <c r="AY9" s="2">
        <v>0</v>
      </c>
      <c r="AZ9" s="3">
        <f t="shared" si="18"/>
        <v>0</v>
      </c>
      <c r="BA9" s="5" t="str">
        <f t="shared" si="19"/>
        <v>-</v>
      </c>
      <c r="BB9" s="2">
        <v>0</v>
      </c>
      <c r="BC9" s="2">
        <v>0</v>
      </c>
      <c r="BD9" s="3">
        <f t="shared" si="20"/>
        <v>0</v>
      </c>
      <c r="BE9" s="5" t="str">
        <f t="shared" si="21"/>
        <v>-</v>
      </c>
      <c r="BF9" s="2">
        <v>0</v>
      </c>
      <c r="BG9" s="2">
        <v>0</v>
      </c>
      <c r="BH9" s="3">
        <f t="shared" si="22"/>
        <v>0</v>
      </c>
      <c r="BI9" s="5" t="str">
        <f t="shared" si="23"/>
        <v>-</v>
      </c>
      <c r="BJ9" s="34">
        <f>SUM(Tabela2[[#This Row],[Orçado
Dez]]+Tabela2[[#This Row],[Orçado
Nov]]+Tabela2[[#This Row],[Orçado
Out]]+Tabela2[[#This Row],[Orçado
Set]]+Tabela2[[#This Row],[Orçado
Ago]]+Tabela2[[#This Row],[Orçado
Jul]]+Tabela2[[#This Row],[Orçado
Jun]]+Tabela2[[#This Row],[Orçado
Mai]]+Tabela2[[#This Row],[Orçado
Abr]]+Tabela2[[#This Row],[Orçado
Mar]]+Tabela2[[#This Row],[Orçado
Fev]]+Tabela2[[#This Row],[Orçado
Jan]])</f>
        <v>154000</v>
      </c>
      <c r="BK9" s="34">
        <f t="shared" si="24"/>
        <v>0</v>
      </c>
      <c r="BL9" s="34">
        <f t="shared" si="25"/>
        <v>-154000</v>
      </c>
      <c r="BM9" s="5">
        <f t="shared" si="26"/>
        <v>-1</v>
      </c>
      <c r="BN9" s="43">
        <f>Tabela2[[#This Row],[Total Orçado
Ano]]-Tabela2[[#This Row],[Total Realizado
Ano]]</f>
        <v>154000</v>
      </c>
      <c r="BO9" s="34">
        <f t="shared" si="27"/>
        <v>154000</v>
      </c>
    </row>
    <row r="10" spans="1:67" x14ac:dyDescent="0.25">
      <c r="A10" s="4">
        <v>2026</v>
      </c>
      <c r="B10" s="2" t="s">
        <v>173</v>
      </c>
      <c r="C10" s="2"/>
      <c r="D10" s="2" t="s">
        <v>93</v>
      </c>
      <c r="E10" s="2" t="s">
        <v>1</v>
      </c>
      <c r="F10" s="4" t="s">
        <v>168</v>
      </c>
      <c r="G10" s="2" t="s">
        <v>172</v>
      </c>
      <c r="H10" s="2" t="s">
        <v>129</v>
      </c>
      <c r="I10" s="2" t="s">
        <v>95</v>
      </c>
      <c r="J10" s="2" t="s">
        <v>86</v>
      </c>
      <c r="K10" s="2" t="s">
        <v>96</v>
      </c>
      <c r="L10" s="2" t="s">
        <v>88</v>
      </c>
      <c r="M10" s="4"/>
      <c r="N10" s="51">
        <v>44000</v>
      </c>
      <c r="O10" s="2">
        <v>0</v>
      </c>
      <c r="P10" s="3">
        <f t="shared" si="0"/>
        <v>-44000</v>
      </c>
      <c r="Q10" s="5">
        <f t="shared" si="1"/>
        <v>-1</v>
      </c>
      <c r="R10" s="2">
        <v>0</v>
      </c>
      <c r="S10" s="2">
        <v>0</v>
      </c>
      <c r="T10" s="3">
        <f t="shared" si="2"/>
        <v>0</v>
      </c>
      <c r="U10" s="5" t="str">
        <f t="shared" si="3"/>
        <v>-</v>
      </c>
      <c r="V10" s="67">
        <v>0</v>
      </c>
      <c r="W10" s="2">
        <v>0</v>
      </c>
      <c r="X10" s="3">
        <f t="shared" si="4"/>
        <v>0</v>
      </c>
      <c r="Y10" s="5" t="str">
        <f t="shared" si="5"/>
        <v>-</v>
      </c>
      <c r="Z10" s="2">
        <v>0</v>
      </c>
      <c r="AA10" s="2">
        <v>0</v>
      </c>
      <c r="AB10" s="3">
        <f t="shared" si="6"/>
        <v>0</v>
      </c>
      <c r="AC10" s="5" t="str">
        <f t="shared" si="7"/>
        <v>-</v>
      </c>
      <c r="AD10" s="2">
        <v>0</v>
      </c>
      <c r="AE10" s="2">
        <v>0</v>
      </c>
      <c r="AF10" s="3">
        <f t="shared" si="8"/>
        <v>0</v>
      </c>
      <c r="AG10" s="5" t="str">
        <f t="shared" si="9"/>
        <v>-</v>
      </c>
      <c r="AH10" s="2">
        <v>0</v>
      </c>
      <c r="AI10" s="2">
        <v>0</v>
      </c>
      <c r="AJ10" s="3">
        <f t="shared" si="10"/>
        <v>0</v>
      </c>
      <c r="AK10" s="5" t="str">
        <f t="shared" si="11"/>
        <v>-</v>
      </c>
      <c r="AL10" s="2">
        <v>0</v>
      </c>
      <c r="AM10" s="2">
        <v>0</v>
      </c>
      <c r="AN10" s="3">
        <f t="shared" si="12"/>
        <v>0</v>
      </c>
      <c r="AO10" s="5" t="str">
        <f t="shared" si="13"/>
        <v>-</v>
      </c>
      <c r="AP10" s="2">
        <v>0</v>
      </c>
      <c r="AQ10" s="2">
        <v>0</v>
      </c>
      <c r="AR10" s="3">
        <f t="shared" si="14"/>
        <v>0</v>
      </c>
      <c r="AS10" s="5" t="str">
        <f t="shared" si="15"/>
        <v>-</v>
      </c>
      <c r="AT10" s="2">
        <v>0</v>
      </c>
      <c r="AU10" s="2">
        <v>0</v>
      </c>
      <c r="AV10" s="3">
        <f t="shared" si="16"/>
        <v>0</v>
      </c>
      <c r="AW10" s="5" t="str">
        <f t="shared" si="17"/>
        <v>-</v>
      </c>
      <c r="AX10" s="2">
        <v>0</v>
      </c>
      <c r="AY10" s="2">
        <v>0</v>
      </c>
      <c r="AZ10" s="3">
        <f t="shared" si="18"/>
        <v>0</v>
      </c>
      <c r="BA10" s="5" t="str">
        <f t="shared" si="19"/>
        <v>-</v>
      </c>
      <c r="BB10" s="2">
        <v>0</v>
      </c>
      <c r="BC10" s="2">
        <v>0</v>
      </c>
      <c r="BD10" s="3">
        <f t="shared" si="20"/>
        <v>0</v>
      </c>
      <c r="BE10" s="5" t="str">
        <f t="shared" si="21"/>
        <v>-</v>
      </c>
      <c r="BF10" s="2">
        <v>0</v>
      </c>
      <c r="BG10" s="2">
        <v>0</v>
      </c>
      <c r="BH10" s="3">
        <f t="shared" si="22"/>
        <v>0</v>
      </c>
      <c r="BI10" s="5" t="str">
        <f t="shared" si="23"/>
        <v>-</v>
      </c>
      <c r="BJ10" s="34">
        <f>SUM(Tabela2[[#This Row],[Orçado
Dez]]+Tabela2[[#This Row],[Orçado
Nov]]+Tabela2[[#This Row],[Orçado
Out]]+Tabela2[[#This Row],[Orçado
Set]]+Tabela2[[#This Row],[Orçado
Ago]]+Tabela2[[#This Row],[Orçado
Jul]]+Tabela2[[#This Row],[Orçado
Jun]]+Tabela2[[#This Row],[Orçado
Mai]]+Tabela2[[#This Row],[Orçado
Abr]]+Tabela2[[#This Row],[Orçado
Mar]]+Tabela2[[#This Row],[Orçado
Fev]]+Tabela2[[#This Row],[Orçado
Jan]])</f>
        <v>44000</v>
      </c>
      <c r="BK10" s="34">
        <f t="shared" si="24"/>
        <v>0</v>
      </c>
      <c r="BL10" s="34">
        <f t="shared" si="25"/>
        <v>-44000</v>
      </c>
      <c r="BM10" s="5">
        <f t="shared" si="26"/>
        <v>-1</v>
      </c>
      <c r="BN10" s="43">
        <f>Tabela2[[#This Row],[Total Orçado
Ano]]-Tabela2[[#This Row],[Total Realizado
Ano]]</f>
        <v>44000</v>
      </c>
      <c r="BO10" s="34">
        <f t="shared" si="27"/>
        <v>44000</v>
      </c>
    </row>
    <row r="11" spans="1:67" x14ac:dyDescent="0.25">
      <c r="A11" s="4">
        <v>2026</v>
      </c>
      <c r="B11" s="2" t="s">
        <v>176</v>
      </c>
      <c r="C11" s="2"/>
      <c r="D11" s="2" t="s">
        <v>93</v>
      </c>
      <c r="E11" s="2" t="s">
        <v>2</v>
      </c>
      <c r="F11" s="4" t="s">
        <v>169</v>
      </c>
      <c r="G11" s="2" t="s">
        <v>172</v>
      </c>
      <c r="H11" s="2" t="s">
        <v>129</v>
      </c>
      <c r="I11" s="2" t="s">
        <v>95</v>
      </c>
      <c r="J11" s="2" t="s">
        <v>86</v>
      </c>
      <c r="K11" s="2" t="s">
        <v>96</v>
      </c>
      <c r="L11" s="2" t="s">
        <v>88</v>
      </c>
      <c r="M11" s="4"/>
      <c r="N11" s="51">
        <v>50000</v>
      </c>
      <c r="O11" s="2">
        <v>0</v>
      </c>
      <c r="P11" s="3">
        <f t="shared" si="0"/>
        <v>-50000</v>
      </c>
      <c r="Q11" s="5">
        <f t="shared" si="1"/>
        <v>-1</v>
      </c>
      <c r="R11" s="2">
        <v>0</v>
      </c>
      <c r="S11" s="2">
        <v>0</v>
      </c>
      <c r="T11" s="3">
        <f t="shared" si="2"/>
        <v>0</v>
      </c>
      <c r="U11" s="5" t="str">
        <f t="shared" si="3"/>
        <v>-</v>
      </c>
      <c r="V11" s="67">
        <v>0</v>
      </c>
      <c r="W11" s="2">
        <v>0</v>
      </c>
      <c r="X11" s="3">
        <f t="shared" si="4"/>
        <v>0</v>
      </c>
      <c r="Y11" s="5" t="str">
        <f t="shared" si="5"/>
        <v>-</v>
      </c>
      <c r="Z11" s="2">
        <v>310000</v>
      </c>
      <c r="AA11" s="2">
        <v>0</v>
      </c>
      <c r="AB11" s="3">
        <f t="shared" si="6"/>
        <v>-310000</v>
      </c>
      <c r="AC11" s="5">
        <f t="shared" si="7"/>
        <v>-1</v>
      </c>
      <c r="AD11" s="2">
        <v>0</v>
      </c>
      <c r="AE11" s="2">
        <v>0</v>
      </c>
      <c r="AF11" s="3">
        <f t="shared" si="8"/>
        <v>0</v>
      </c>
      <c r="AG11" s="5" t="str">
        <f t="shared" si="9"/>
        <v>-</v>
      </c>
      <c r="AH11" s="2">
        <v>0</v>
      </c>
      <c r="AI11" s="2">
        <v>0</v>
      </c>
      <c r="AJ11" s="3">
        <f t="shared" si="10"/>
        <v>0</v>
      </c>
      <c r="AK11" s="5" t="str">
        <f t="shared" si="11"/>
        <v>-</v>
      </c>
      <c r="AL11" s="2">
        <v>560000</v>
      </c>
      <c r="AM11" s="2">
        <v>0</v>
      </c>
      <c r="AN11" s="3">
        <f t="shared" si="12"/>
        <v>-560000</v>
      </c>
      <c r="AO11" s="5">
        <f t="shared" si="13"/>
        <v>-1</v>
      </c>
      <c r="AP11" s="2">
        <v>0</v>
      </c>
      <c r="AQ11" s="2">
        <v>0</v>
      </c>
      <c r="AR11" s="3">
        <f t="shared" si="14"/>
        <v>0</v>
      </c>
      <c r="AS11" s="5" t="str">
        <f t="shared" si="15"/>
        <v>-</v>
      </c>
      <c r="AT11" s="2">
        <v>0</v>
      </c>
      <c r="AU11" s="2">
        <v>0</v>
      </c>
      <c r="AV11" s="3">
        <f t="shared" si="16"/>
        <v>0</v>
      </c>
      <c r="AW11" s="5" t="str">
        <f t="shared" si="17"/>
        <v>-</v>
      </c>
      <c r="AX11" s="2">
        <v>0</v>
      </c>
      <c r="AY11" s="2">
        <v>0</v>
      </c>
      <c r="AZ11" s="3">
        <f t="shared" si="18"/>
        <v>0</v>
      </c>
      <c r="BA11" s="5" t="str">
        <f t="shared" si="19"/>
        <v>-</v>
      </c>
      <c r="BB11" s="2">
        <v>0</v>
      </c>
      <c r="BC11" s="2">
        <v>0</v>
      </c>
      <c r="BD11" s="3">
        <f t="shared" si="20"/>
        <v>0</v>
      </c>
      <c r="BE11" s="5" t="str">
        <f t="shared" si="21"/>
        <v>-</v>
      </c>
      <c r="BF11" s="2">
        <v>0</v>
      </c>
      <c r="BG11" s="2">
        <v>0</v>
      </c>
      <c r="BH11" s="3">
        <f t="shared" si="22"/>
        <v>0</v>
      </c>
      <c r="BI11" s="5" t="str">
        <f t="shared" si="23"/>
        <v>-</v>
      </c>
      <c r="BJ11" s="34">
        <f>SUM(Tabela2[[#This Row],[Orçado
Dez]]+Tabela2[[#This Row],[Orçado
Nov]]+Tabela2[[#This Row],[Orçado
Out]]+Tabela2[[#This Row],[Orçado
Set]]+Tabela2[[#This Row],[Orçado
Ago]]+Tabela2[[#This Row],[Orçado
Jul]]+Tabela2[[#This Row],[Orçado
Jun]]+Tabela2[[#This Row],[Orçado
Mai]]+Tabela2[[#This Row],[Orçado
Abr]]+Tabela2[[#This Row],[Orçado
Mar]]+Tabela2[[#This Row],[Orçado
Fev]]+Tabela2[[#This Row],[Orçado
Jan]])</f>
        <v>920000</v>
      </c>
      <c r="BK11" s="34">
        <f t="shared" si="24"/>
        <v>0</v>
      </c>
      <c r="BL11" s="34">
        <f t="shared" si="25"/>
        <v>-920000</v>
      </c>
      <c r="BM11" s="5">
        <f t="shared" si="26"/>
        <v>-1</v>
      </c>
      <c r="BN11" s="43">
        <f>Tabela2[[#This Row],[Total Orçado
Ano]]-Tabela2[[#This Row],[Total Realizado
Ano]]</f>
        <v>920000</v>
      </c>
      <c r="BO11" s="34">
        <f t="shared" si="27"/>
        <v>920000</v>
      </c>
    </row>
    <row r="12" spans="1:67" x14ac:dyDescent="0.25">
      <c r="A12" s="4">
        <v>2026</v>
      </c>
      <c r="B12" s="2" t="s">
        <v>175</v>
      </c>
      <c r="C12" s="2"/>
      <c r="D12" s="2" t="s">
        <v>93</v>
      </c>
      <c r="E12" s="2" t="s">
        <v>2</v>
      </c>
      <c r="F12" s="4" t="s">
        <v>147</v>
      </c>
      <c r="G12" s="2" t="s">
        <v>146</v>
      </c>
      <c r="H12" s="2" t="s">
        <v>129</v>
      </c>
      <c r="I12" s="2" t="s">
        <v>95</v>
      </c>
      <c r="J12" s="2" t="s">
        <v>86</v>
      </c>
      <c r="K12" s="2" t="s">
        <v>96</v>
      </c>
      <c r="L12" s="2" t="s">
        <v>88</v>
      </c>
      <c r="M12" s="4"/>
      <c r="N12" s="52">
        <v>0</v>
      </c>
      <c r="O12" s="2">
        <v>0</v>
      </c>
      <c r="P12" s="3">
        <f t="shared" si="0"/>
        <v>0</v>
      </c>
      <c r="Q12" s="5" t="str">
        <f t="shared" si="1"/>
        <v>-</v>
      </c>
      <c r="R12" s="2">
        <v>7680</v>
      </c>
      <c r="S12" s="2">
        <v>0</v>
      </c>
      <c r="T12" s="3">
        <f t="shared" si="2"/>
        <v>-7680</v>
      </c>
      <c r="U12" s="5">
        <f t="shared" si="3"/>
        <v>-1</v>
      </c>
      <c r="V12" s="67">
        <v>0</v>
      </c>
      <c r="W12" s="2">
        <v>0</v>
      </c>
      <c r="X12" s="3">
        <f t="shared" si="4"/>
        <v>0</v>
      </c>
      <c r="Y12" s="5" t="str">
        <f t="shared" si="5"/>
        <v>-</v>
      </c>
      <c r="Z12" s="2">
        <v>0</v>
      </c>
      <c r="AA12" s="2">
        <v>0</v>
      </c>
      <c r="AB12" s="3">
        <f t="shared" si="6"/>
        <v>0</v>
      </c>
      <c r="AC12" s="5" t="str">
        <f t="shared" si="7"/>
        <v>-</v>
      </c>
      <c r="AD12" s="2">
        <v>0</v>
      </c>
      <c r="AE12" s="2">
        <v>0</v>
      </c>
      <c r="AF12" s="3">
        <f t="shared" si="8"/>
        <v>0</v>
      </c>
      <c r="AG12" s="5" t="str">
        <f t="shared" si="9"/>
        <v>-</v>
      </c>
      <c r="AH12" s="2">
        <v>0</v>
      </c>
      <c r="AI12" s="2">
        <v>0</v>
      </c>
      <c r="AJ12" s="3">
        <f t="shared" si="10"/>
        <v>0</v>
      </c>
      <c r="AK12" s="5" t="str">
        <f t="shared" si="11"/>
        <v>-</v>
      </c>
      <c r="AL12" s="2">
        <v>0</v>
      </c>
      <c r="AM12" s="2">
        <v>0</v>
      </c>
      <c r="AN12" s="3">
        <f t="shared" si="12"/>
        <v>0</v>
      </c>
      <c r="AO12" s="5" t="str">
        <f t="shared" si="13"/>
        <v>-</v>
      </c>
      <c r="AP12" s="2">
        <v>0</v>
      </c>
      <c r="AQ12" s="2">
        <v>0</v>
      </c>
      <c r="AR12" s="3">
        <f t="shared" si="14"/>
        <v>0</v>
      </c>
      <c r="AS12" s="5" t="str">
        <f t="shared" si="15"/>
        <v>-</v>
      </c>
      <c r="AT12" s="2">
        <v>0</v>
      </c>
      <c r="AU12" s="2">
        <v>0</v>
      </c>
      <c r="AV12" s="3">
        <f t="shared" si="16"/>
        <v>0</v>
      </c>
      <c r="AW12" s="5" t="str">
        <f t="shared" si="17"/>
        <v>-</v>
      </c>
      <c r="AX12" s="2">
        <v>0</v>
      </c>
      <c r="AY12" s="2">
        <v>0</v>
      </c>
      <c r="AZ12" s="3">
        <f t="shared" si="18"/>
        <v>0</v>
      </c>
      <c r="BA12" s="5" t="str">
        <f t="shared" si="19"/>
        <v>-</v>
      </c>
      <c r="BB12" s="2">
        <v>0</v>
      </c>
      <c r="BC12" s="2">
        <v>0</v>
      </c>
      <c r="BD12" s="3">
        <f t="shared" si="20"/>
        <v>0</v>
      </c>
      <c r="BE12" s="5" t="str">
        <f t="shared" si="21"/>
        <v>-</v>
      </c>
      <c r="BF12" s="2">
        <v>0</v>
      </c>
      <c r="BG12" s="2">
        <v>0</v>
      </c>
      <c r="BH12" s="3">
        <f t="shared" si="22"/>
        <v>0</v>
      </c>
      <c r="BI12" s="5" t="str">
        <f t="shared" si="23"/>
        <v>-</v>
      </c>
      <c r="BJ12" s="34">
        <f>SUM(Tabela2[[#This Row],[Orçado
Dez]]+Tabela2[[#This Row],[Orçado
Nov]]+Tabela2[[#This Row],[Orçado
Out]]+Tabela2[[#This Row],[Orçado
Set]]+Tabela2[[#This Row],[Orçado
Ago]]+Tabela2[[#This Row],[Orçado
Jul]]+Tabela2[[#This Row],[Orçado
Jun]]+Tabela2[[#This Row],[Orçado
Mai]]+Tabela2[[#This Row],[Orçado
Abr]]+Tabela2[[#This Row],[Orçado
Mar]]+Tabela2[[#This Row],[Orçado
Fev]]+Tabela2[[#This Row],[Orçado
Jan]])</f>
        <v>7680</v>
      </c>
      <c r="BK12" s="3">
        <f t="shared" si="24"/>
        <v>0</v>
      </c>
      <c r="BL12" s="3">
        <f t="shared" si="25"/>
        <v>-7680</v>
      </c>
      <c r="BM12" s="5">
        <f t="shared" si="26"/>
        <v>-1</v>
      </c>
      <c r="BN12" s="1">
        <f>Tabela2[[#This Row],[Total Orçado
Ano]]-Tabela2[[#This Row],[Total Realizado
Ano]]</f>
        <v>7680</v>
      </c>
      <c r="BO12" s="3">
        <f t="shared" si="27"/>
        <v>7680</v>
      </c>
    </row>
    <row r="13" spans="1:67" x14ac:dyDescent="0.25">
      <c r="A13" s="4">
        <v>2026</v>
      </c>
      <c r="B13" s="2" t="s">
        <v>175</v>
      </c>
      <c r="C13" s="2"/>
      <c r="D13" s="2" t="s">
        <v>93</v>
      </c>
      <c r="E13" s="2" t="s">
        <v>2</v>
      </c>
      <c r="F13" s="4" t="s">
        <v>148</v>
      </c>
      <c r="G13" s="2" t="s">
        <v>146</v>
      </c>
      <c r="H13" s="2" t="s">
        <v>129</v>
      </c>
      <c r="I13" s="2" t="s">
        <v>95</v>
      </c>
      <c r="J13" s="2" t="s">
        <v>86</v>
      </c>
      <c r="K13" s="2" t="s">
        <v>96</v>
      </c>
      <c r="L13" s="2" t="s">
        <v>88</v>
      </c>
      <c r="M13" s="4"/>
      <c r="N13" s="52">
        <v>0</v>
      </c>
      <c r="O13" s="2">
        <v>0</v>
      </c>
      <c r="P13" s="3">
        <f t="shared" si="0"/>
        <v>0</v>
      </c>
      <c r="Q13" s="5" t="str">
        <f t="shared" si="1"/>
        <v>-</v>
      </c>
      <c r="R13" s="2">
        <v>33920</v>
      </c>
      <c r="S13" s="2">
        <v>0</v>
      </c>
      <c r="T13" s="3">
        <f t="shared" si="2"/>
        <v>-33920</v>
      </c>
      <c r="U13" s="5">
        <f t="shared" si="3"/>
        <v>-1</v>
      </c>
      <c r="V13" s="67">
        <v>0</v>
      </c>
      <c r="W13" s="2">
        <v>0</v>
      </c>
      <c r="X13" s="3">
        <f t="shared" si="4"/>
        <v>0</v>
      </c>
      <c r="Y13" s="5" t="str">
        <f t="shared" si="5"/>
        <v>-</v>
      </c>
      <c r="Z13" s="2">
        <v>0</v>
      </c>
      <c r="AA13" s="2">
        <v>0</v>
      </c>
      <c r="AB13" s="3">
        <f t="shared" si="6"/>
        <v>0</v>
      </c>
      <c r="AC13" s="5" t="str">
        <f t="shared" si="7"/>
        <v>-</v>
      </c>
      <c r="AD13" s="2">
        <v>0</v>
      </c>
      <c r="AE13" s="2">
        <v>0</v>
      </c>
      <c r="AF13" s="3">
        <f t="shared" si="8"/>
        <v>0</v>
      </c>
      <c r="AG13" s="5" t="str">
        <f t="shared" si="9"/>
        <v>-</v>
      </c>
      <c r="AH13" s="2">
        <v>0</v>
      </c>
      <c r="AI13" s="2">
        <v>0</v>
      </c>
      <c r="AJ13" s="3">
        <f t="shared" si="10"/>
        <v>0</v>
      </c>
      <c r="AK13" s="5" t="str">
        <f t="shared" si="11"/>
        <v>-</v>
      </c>
      <c r="AL13" s="2">
        <v>0</v>
      </c>
      <c r="AM13" s="2">
        <v>0</v>
      </c>
      <c r="AN13" s="3">
        <f t="shared" si="12"/>
        <v>0</v>
      </c>
      <c r="AO13" s="5" t="str">
        <f t="shared" si="13"/>
        <v>-</v>
      </c>
      <c r="AP13" s="2">
        <v>0</v>
      </c>
      <c r="AQ13" s="2">
        <v>0</v>
      </c>
      <c r="AR13" s="3">
        <f t="shared" si="14"/>
        <v>0</v>
      </c>
      <c r="AS13" s="5" t="str">
        <f t="shared" si="15"/>
        <v>-</v>
      </c>
      <c r="AT13" s="2">
        <v>0</v>
      </c>
      <c r="AU13" s="2">
        <v>0</v>
      </c>
      <c r="AV13" s="3">
        <f t="shared" si="16"/>
        <v>0</v>
      </c>
      <c r="AW13" s="5" t="str">
        <f t="shared" si="17"/>
        <v>-</v>
      </c>
      <c r="AX13" s="2">
        <v>0</v>
      </c>
      <c r="AY13" s="2">
        <v>0</v>
      </c>
      <c r="AZ13" s="3">
        <f t="shared" si="18"/>
        <v>0</v>
      </c>
      <c r="BA13" s="5" t="str">
        <f t="shared" si="19"/>
        <v>-</v>
      </c>
      <c r="BB13" s="2">
        <v>0</v>
      </c>
      <c r="BC13" s="2">
        <v>0</v>
      </c>
      <c r="BD13" s="3">
        <f t="shared" si="20"/>
        <v>0</v>
      </c>
      <c r="BE13" s="5" t="str">
        <f t="shared" si="21"/>
        <v>-</v>
      </c>
      <c r="BF13" s="2">
        <v>0</v>
      </c>
      <c r="BG13" s="2">
        <v>0</v>
      </c>
      <c r="BH13" s="3">
        <f t="shared" si="22"/>
        <v>0</v>
      </c>
      <c r="BI13" s="5" t="str">
        <f t="shared" si="23"/>
        <v>-</v>
      </c>
      <c r="BJ13" s="34">
        <f>SUM(Tabela2[[#This Row],[Orçado
Dez]]+Tabela2[[#This Row],[Orçado
Nov]]+Tabela2[[#This Row],[Orçado
Out]]+Tabela2[[#This Row],[Orçado
Set]]+Tabela2[[#This Row],[Orçado
Ago]]+Tabela2[[#This Row],[Orçado
Jul]]+Tabela2[[#This Row],[Orçado
Jun]]+Tabela2[[#This Row],[Orçado
Mai]]+Tabela2[[#This Row],[Orçado
Abr]]+Tabela2[[#This Row],[Orçado
Mar]]+Tabela2[[#This Row],[Orçado
Fev]]+Tabela2[[#This Row],[Orçado
Jan]])</f>
        <v>33920</v>
      </c>
      <c r="BK13" s="3">
        <f t="shared" si="24"/>
        <v>0</v>
      </c>
      <c r="BL13" s="3">
        <f t="shared" si="25"/>
        <v>-33920</v>
      </c>
      <c r="BM13" s="5">
        <f t="shared" si="26"/>
        <v>-1</v>
      </c>
      <c r="BN13" s="1">
        <f>Tabela2[[#This Row],[Total Orçado
Ano]]-Tabela2[[#This Row],[Total Realizado
Ano]]</f>
        <v>33920</v>
      </c>
      <c r="BO13" s="3">
        <f t="shared" si="27"/>
        <v>33920</v>
      </c>
    </row>
    <row r="14" spans="1:67" x14ac:dyDescent="0.25">
      <c r="A14" s="4">
        <v>2026</v>
      </c>
      <c r="B14" s="2" t="s">
        <v>175</v>
      </c>
      <c r="C14" s="2"/>
      <c r="D14" s="2" t="s">
        <v>93</v>
      </c>
      <c r="E14" s="2" t="s">
        <v>1</v>
      </c>
      <c r="F14" s="4" t="s">
        <v>156</v>
      </c>
      <c r="G14" s="2" t="s">
        <v>146</v>
      </c>
      <c r="H14" s="2" t="s">
        <v>129</v>
      </c>
      <c r="I14" s="2" t="s">
        <v>95</v>
      </c>
      <c r="J14" s="2" t="s">
        <v>86</v>
      </c>
      <c r="K14" s="2" t="s">
        <v>96</v>
      </c>
      <c r="L14" s="2" t="s">
        <v>88</v>
      </c>
      <c r="M14" s="4"/>
      <c r="N14" s="52">
        <v>0</v>
      </c>
      <c r="O14" s="2">
        <v>0</v>
      </c>
      <c r="P14" s="3">
        <f t="shared" si="0"/>
        <v>0</v>
      </c>
      <c r="Q14" s="5" t="str">
        <f t="shared" si="1"/>
        <v>-</v>
      </c>
      <c r="R14" s="2">
        <v>170509</v>
      </c>
      <c r="S14" s="2">
        <v>0</v>
      </c>
      <c r="T14" s="3">
        <f t="shared" si="2"/>
        <v>-170509</v>
      </c>
      <c r="U14" s="5">
        <f t="shared" si="3"/>
        <v>-1</v>
      </c>
      <c r="V14" s="67">
        <v>0</v>
      </c>
      <c r="W14" s="2">
        <v>0</v>
      </c>
      <c r="X14" s="3">
        <f t="shared" si="4"/>
        <v>0</v>
      </c>
      <c r="Y14" s="5" t="str">
        <f t="shared" si="5"/>
        <v>-</v>
      </c>
      <c r="Z14" s="2">
        <v>0</v>
      </c>
      <c r="AA14" s="2">
        <v>0</v>
      </c>
      <c r="AB14" s="3">
        <f t="shared" si="6"/>
        <v>0</v>
      </c>
      <c r="AC14" s="5" t="str">
        <f t="shared" si="7"/>
        <v>-</v>
      </c>
      <c r="AD14" s="2">
        <v>0</v>
      </c>
      <c r="AE14" s="2">
        <v>0</v>
      </c>
      <c r="AF14" s="3">
        <f t="shared" si="8"/>
        <v>0</v>
      </c>
      <c r="AG14" s="5" t="str">
        <f t="shared" si="9"/>
        <v>-</v>
      </c>
      <c r="AH14" s="2">
        <v>0</v>
      </c>
      <c r="AI14" s="2">
        <v>0</v>
      </c>
      <c r="AJ14" s="3">
        <f t="shared" si="10"/>
        <v>0</v>
      </c>
      <c r="AK14" s="5" t="str">
        <f t="shared" si="11"/>
        <v>-</v>
      </c>
      <c r="AL14" s="2">
        <v>0</v>
      </c>
      <c r="AM14" s="2">
        <v>0</v>
      </c>
      <c r="AN14" s="3">
        <f t="shared" si="12"/>
        <v>0</v>
      </c>
      <c r="AO14" s="5" t="str">
        <f t="shared" si="13"/>
        <v>-</v>
      </c>
      <c r="AP14" s="2">
        <v>0</v>
      </c>
      <c r="AQ14" s="2">
        <v>0</v>
      </c>
      <c r="AR14" s="3">
        <f t="shared" si="14"/>
        <v>0</v>
      </c>
      <c r="AS14" s="5" t="str">
        <f t="shared" si="15"/>
        <v>-</v>
      </c>
      <c r="AT14" s="2">
        <v>0</v>
      </c>
      <c r="AU14" s="2">
        <v>0</v>
      </c>
      <c r="AV14" s="3">
        <f t="shared" si="16"/>
        <v>0</v>
      </c>
      <c r="AW14" s="5" t="str">
        <f t="shared" si="17"/>
        <v>-</v>
      </c>
      <c r="AX14" s="2">
        <v>0</v>
      </c>
      <c r="AY14" s="2">
        <v>0</v>
      </c>
      <c r="AZ14" s="3">
        <f t="shared" si="18"/>
        <v>0</v>
      </c>
      <c r="BA14" s="5" t="str">
        <f t="shared" si="19"/>
        <v>-</v>
      </c>
      <c r="BB14" s="2">
        <v>0</v>
      </c>
      <c r="BC14" s="2">
        <v>0</v>
      </c>
      <c r="BD14" s="3">
        <f t="shared" si="20"/>
        <v>0</v>
      </c>
      <c r="BE14" s="5" t="str">
        <f t="shared" si="21"/>
        <v>-</v>
      </c>
      <c r="BF14" s="2">
        <v>0</v>
      </c>
      <c r="BG14" s="2">
        <v>0</v>
      </c>
      <c r="BH14" s="3">
        <f t="shared" si="22"/>
        <v>0</v>
      </c>
      <c r="BI14" s="5" t="str">
        <f t="shared" si="23"/>
        <v>-</v>
      </c>
      <c r="BJ14" s="34">
        <f>SUM(Tabela2[[#This Row],[Orçado
Dez]]+Tabela2[[#This Row],[Orçado
Nov]]+Tabela2[[#This Row],[Orçado
Out]]+Tabela2[[#This Row],[Orçado
Set]]+Tabela2[[#This Row],[Orçado
Ago]]+Tabela2[[#This Row],[Orçado
Jul]]+Tabela2[[#This Row],[Orçado
Jun]]+Tabela2[[#This Row],[Orçado
Mai]]+Tabela2[[#This Row],[Orçado
Abr]]+Tabela2[[#This Row],[Orçado
Mar]]+Tabela2[[#This Row],[Orçado
Fev]]+Tabela2[[#This Row],[Orçado
Jan]])</f>
        <v>170509</v>
      </c>
      <c r="BK14" s="3">
        <f t="shared" si="24"/>
        <v>0</v>
      </c>
      <c r="BL14" s="3">
        <f t="shared" si="25"/>
        <v>-170509</v>
      </c>
      <c r="BM14" s="5">
        <f t="shared" si="26"/>
        <v>-1</v>
      </c>
      <c r="BN14" s="1">
        <f>Tabela2[[#This Row],[Total Orçado
Ano]]-Tabela2[[#This Row],[Total Realizado
Ano]]</f>
        <v>170509</v>
      </c>
      <c r="BO14" s="3">
        <f t="shared" si="27"/>
        <v>170509</v>
      </c>
    </row>
    <row r="15" spans="1:67" x14ac:dyDescent="0.25">
      <c r="A15" s="4">
        <v>2026</v>
      </c>
      <c r="B15" s="2" t="s">
        <v>175</v>
      </c>
      <c r="C15" s="2"/>
      <c r="D15" s="2" t="s">
        <v>93</v>
      </c>
      <c r="E15" s="2" t="s">
        <v>1</v>
      </c>
      <c r="F15" s="4" t="s">
        <v>158</v>
      </c>
      <c r="G15" s="2" t="s">
        <v>146</v>
      </c>
      <c r="H15" s="2" t="s">
        <v>129</v>
      </c>
      <c r="I15" s="2" t="s">
        <v>95</v>
      </c>
      <c r="J15" s="2" t="s">
        <v>86</v>
      </c>
      <c r="K15" s="2" t="s">
        <v>96</v>
      </c>
      <c r="L15" s="2" t="s">
        <v>88</v>
      </c>
      <c r="M15" s="4"/>
      <c r="N15" s="52">
        <v>0</v>
      </c>
      <c r="O15" s="2">
        <v>0</v>
      </c>
      <c r="P15" s="3">
        <f t="shared" si="0"/>
        <v>0</v>
      </c>
      <c r="Q15" s="5" t="str">
        <f t="shared" si="1"/>
        <v>-</v>
      </c>
      <c r="R15" s="2">
        <v>170509</v>
      </c>
      <c r="S15" s="2">
        <v>0</v>
      </c>
      <c r="T15" s="3">
        <f t="shared" si="2"/>
        <v>-170509</v>
      </c>
      <c r="U15" s="5">
        <f t="shared" si="3"/>
        <v>-1</v>
      </c>
      <c r="V15" s="67">
        <v>0</v>
      </c>
      <c r="W15" s="2">
        <v>0</v>
      </c>
      <c r="X15" s="3">
        <f t="shared" si="4"/>
        <v>0</v>
      </c>
      <c r="Y15" s="5" t="str">
        <f t="shared" si="5"/>
        <v>-</v>
      </c>
      <c r="Z15" s="2">
        <v>0</v>
      </c>
      <c r="AA15" s="2">
        <v>0</v>
      </c>
      <c r="AB15" s="3">
        <f t="shared" si="6"/>
        <v>0</v>
      </c>
      <c r="AC15" s="5" t="str">
        <f t="shared" si="7"/>
        <v>-</v>
      </c>
      <c r="AD15" s="2">
        <v>0</v>
      </c>
      <c r="AE15" s="2">
        <v>0</v>
      </c>
      <c r="AF15" s="3">
        <f t="shared" si="8"/>
        <v>0</v>
      </c>
      <c r="AG15" s="5" t="str">
        <f t="shared" si="9"/>
        <v>-</v>
      </c>
      <c r="AH15" s="2">
        <v>0</v>
      </c>
      <c r="AI15" s="2">
        <v>0</v>
      </c>
      <c r="AJ15" s="3">
        <f t="shared" si="10"/>
        <v>0</v>
      </c>
      <c r="AK15" s="5" t="str">
        <f t="shared" si="11"/>
        <v>-</v>
      </c>
      <c r="AL15" s="2">
        <v>0</v>
      </c>
      <c r="AM15" s="2">
        <v>0</v>
      </c>
      <c r="AN15" s="3">
        <f t="shared" si="12"/>
        <v>0</v>
      </c>
      <c r="AO15" s="5" t="str">
        <f t="shared" si="13"/>
        <v>-</v>
      </c>
      <c r="AP15" s="2">
        <v>0</v>
      </c>
      <c r="AQ15" s="2">
        <v>0</v>
      </c>
      <c r="AR15" s="3">
        <f t="shared" si="14"/>
        <v>0</v>
      </c>
      <c r="AS15" s="5" t="str">
        <f t="shared" si="15"/>
        <v>-</v>
      </c>
      <c r="AT15" s="2">
        <v>0</v>
      </c>
      <c r="AU15" s="2">
        <v>0</v>
      </c>
      <c r="AV15" s="3">
        <f t="shared" si="16"/>
        <v>0</v>
      </c>
      <c r="AW15" s="5" t="str">
        <f t="shared" si="17"/>
        <v>-</v>
      </c>
      <c r="AX15" s="2">
        <v>0</v>
      </c>
      <c r="AY15" s="2">
        <v>0</v>
      </c>
      <c r="AZ15" s="3">
        <f t="shared" si="18"/>
        <v>0</v>
      </c>
      <c r="BA15" s="5" t="str">
        <f t="shared" si="19"/>
        <v>-</v>
      </c>
      <c r="BB15" s="2">
        <v>0</v>
      </c>
      <c r="BC15" s="2">
        <v>0</v>
      </c>
      <c r="BD15" s="3">
        <f t="shared" si="20"/>
        <v>0</v>
      </c>
      <c r="BE15" s="5" t="str">
        <f t="shared" si="21"/>
        <v>-</v>
      </c>
      <c r="BF15" s="2">
        <v>0</v>
      </c>
      <c r="BG15" s="2">
        <v>0</v>
      </c>
      <c r="BH15" s="3">
        <f t="shared" si="22"/>
        <v>0</v>
      </c>
      <c r="BI15" s="5" t="str">
        <f t="shared" si="23"/>
        <v>-</v>
      </c>
      <c r="BJ15" s="34">
        <f>SUM(Tabela2[[#This Row],[Orçado
Dez]]+Tabela2[[#This Row],[Orçado
Nov]]+Tabela2[[#This Row],[Orçado
Out]]+Tabela2[[#This Row],[Orçado
Set]]+Tabela2[[#This Row],[Orçado
Ago]]+Tabela2[[#This Row],[Orçado
Jul]]+Tabela2[[#This Row],[Orçado
Jun]]+Tabela2[[#This Row],[Orçado
Mai]]+Tabela2[[#This Row],[Orçado
Abr]]+Tabela2[[#This Row],[Orçado
Mar]]+Tabela2[[#This Row],[Orçado
Fev]]+Tabela2[[#This Row],[Orçado
Jan]])</f>
        <v>170509</v>
      </c>
      <c r="BK15" s="3">
        <f t="shared" si="24"/>
        <v>0</v>
      </c>
      <c r="BL15" s="3">
        <f t="shared" si="25"/>
        <v>-170509</v>
      </c>
      <c r="BM15" s="5">
        <f t="shared" si="26"/>
        <v>-1</v>
      </c>
      <c r="BN15" s="1">
        <f>Tabela2[[#This Row],[Total Orçado
Ano]]-Tabela2[[#This Row],[Total Realizado
Ano]]</f>
        <v>170509</v>
      </c>
      <c r="BO15" s="3">
        <f t="shared" si="27"/>
        <v>170509</v>
      </c>
    </row>
    <row r="16" spans="1:67" x14ac:dyDescent="0.25">
      <c r="A16" s="4">
        <v>2026</v>
      </c>
      <c r="B16" s="2" t="s">
        <v>175</v>
      </c>
      <c r="C16" s="2"/>
      <c r="D16" s="2" t="s">
        <v>93</v>
      </c>
      <c r="E16" s="2" t="s">
        <v>1</v>
      </c>
      <c r="F16" s="4" t="s">
        <v>155</v>
      </c>
      <c r="G16" s="2" t="s">
        <v>146</v>
      </c>
      <c r="H16" s="2" t="s">
        <v>129</v>
      </c>
      <c r="I16" s="2" t="s">
        <v>95</v>
      </c>
      <c r="J16" s="2" t="s">
        <v>86</v>
      </c>
      <c r="K16" s="2" t="s">
        <v>96</v>
      </c>
      <c r="L16" s="2" t="s">
        <v>88</v>
      </c>
      <c r="M16" s="4"/>
      <c r="N16" s="52">
        <v>0</v>
      </c>
      <c r="O16" s="2">
        <v>0</v>
      </c>
      <c r="P16" s="3">
        <f t="shared" si="0"/>
        <v>0</v>
      </c>
      <c r="Q16" s="5" t="str">
        <f t="shared" si="1"/>
        <v>-</v>
      </c>
      <c r="R16" s="2">
        <v>228485</v>
      </c>
      <c r="S16" s="2">
        <v>0</v>
      </c>
      <c r="T16" s="3">
        <f t="shared" si="2"/>
        <v>-228485</v>
      </c>
      <c r="U16" s="5">
        <f t="shared" si="3"/>
        <v>-1</v>
      </c>
      <c r="V16" s="67">
        <v>0</v>
      </c>
      <c r="W16" s="2">
        <v>0</v>
      </c>
      <c r="X16" s="3">
        <f t="shared" si="4"/>
        <v>0</v>
      </c>
      <c r="Y16" s="5" t="str">
        <f t="shared" si="5"/>
        <v>-</v>
      </c>
      <c r="Z16" s="2">
        <v>0</v>
      </c>
      <c r="AA16" s="2">
        <v>0</v>
      </c>
      <c r="AB16" s="3">
        <f t="shared" si="6"/>
        <v>0</v>
      </c>
      <c r="AC16" s="5" t="str">
        <f t="shared" si="7"/>
        <v>-</v>
      </c>
      <c r="AD16" s="2">
        <v>0</v>
      </c>
      <c r="AE16" s="2">
        <v>0</v>
      </c>
      <c r="AF16" s="3">
        <f t="shared" si="8"/>
        <v>0</v>
      </c>
      <c r="AG16" s="5" t="str">
        <f t="shared" si="9"/>
        <v>-</v>
      </c>
      <c r="AH16" s="2">
        <v>0</v>
      </c>
      <c r="AI16" s="2">
        <v>0</v>
      </c>
      <c r="AJ16" s="3">
        <f t="shared" si="10"/>
        <v>0</v>
      </c>
      <c r="AK16" s="5" t="str">
        <f t="shared" si="11"/>
        <v>-</v>
      </c>
      <c r="AL16" s="2">
        <v>0</v>
      </c>
      <c r="AM16" s="2">
        <v>0</v>
      </c>
      <c r="AN16" s="3">
        <f t="shared" si="12"/>
        <v>0</v>
      </c>
      <c r="AO16" s="5" t="str">
        <f t="shared" si="13"/>
        <v>-</v>
      </c>
      <c r="AP16" s="2">
        <v>0</v>
      </c>
      <c r="AQ16" s="2">
        <v>0</v>
      </c>
      <c r="AR16" s="3">
        <f t="shared" si="14"/>
        <v>0</v>
      </c>
      <c r="AS16" s="5" t="str">
        <f t="shared" si="15"/>
        <v>-</v>
      </c>
      <c r="AT16" s="2">
        <v>0</v>
      </c>
      <c r="AU16" s="2">
        <v>0</v>
      </c>
      <c r="AV16" s="3">
        <f t="shared" si="16"/>
        <v>0</v>
      </c>
      <c r="AW16" s="5" t="str">
        <f t="shared" si="17"/>
        <v>-</v>
      </c>
      <c r="AX16" s="2">
        <v>0</v>
      </c>
      <c r="AY16" s="2">
        <v>0</v>
      </c>
      <c r="AZ16" s="3">
        <f t="shared" si="18"/>
        <v>0</v>
      </c>
      <c r="BA16" s="5" t="str">
        <f t="shared" si="19"/>
        <v>-</v>
      </c>
      <c r="BB16" s="2">
        <v>0</v>
      </c>
      <c r="BC16" s="2">
        <v>0</v>
      </c>
      <c r="BD16" s="3">
        <f t="shared" si="20"/>
        <v>0</v>
      </c>
      <c r="BE16" s="5" t="str">
        <f t="shared" si="21"/>
        <v>-</v>
      </c>
      <c r="BF16" s="2">
        <v>0</v>
      </c>
      <c r="BG16" s="2">
        <v>0</v>
      </c>
      <c r="BH16" s="3">
        <f t="shared" si="22"/>
        <v>0</v>
      </c>
      <c r="BI16" s="5" t="str">
        <f t="shared" si="23"/>
        <v>-</v>
      </c>
      <c r="BJ16" s="34">
        <f>SUM(Tabela2[[#This Row],[Orçado
Dez]]+Tabela2[[#This Row],[Orçado
Nov]]+Tabela2[[#This Row],[Orçado
Out]]+Tabela2[[#This Row],[Orçado
Set]]+Tabela2[[#This Row],[Orçado
Ago]]+Tabela2[[#This Row],[Orçado
Jul]]+Tabela2[[#This Row],[Orçado
Jun]]+Tabela2[[#This Row],[Orçado
Mai]]+Tabela2[[#This Row],[Orçado
Abr]]+Tabela2[[#This Row],[Orçado
Mar]]+Tabela2[[#This Row],[Orçado
Fev]]+Tabela2[[#This Row],[Orçado
Jan]])</f>
        <v>228485</v>
      </c>
      <c r="BK16" s="3">
        <f t="shared" si="24"/>
        <v>0</v>
      </c>
      <c r="BL16" s="3">
        <f t="shared" si="25"/>
        <v>-228485</v>
      </c>
      <c r="BM16" s="5">
        <f t="shared" si="26"/>
        <v>-1</v>
      </c>
      <c r="BN16" s="1">
        <f>Tabela2[[#This Row],[Total Orçado
Ano]]-Tabela2[[#This Row],[Total Realizado
Ano]]</f>
        <v>228485</v>
      </c>
      <c r="BO16" s="3">
        <f t="shared" si="27"/>
        <v>228485</v>
      </c>
    </row>
    <row r="17" spans="1:67" x14ac:dyDescent="0.25">
      <c r="A17" s="4">
        <v>2026</v>
      </c>
      <c r="B17" s="2" t="s">
        <v>175</v>
      </c>
      <c r="C17" s="2"/>
      <c r="D17" s="2" t="s">
        <v>93</v>
      </c>
      <c r="E17" s="2" t="s">
        <v>1</v>
      </c>
      <c r="F17" s="4" t="s">
        <v>157</v>
      </c>
      <c r="G17" s="2" t="s">
        <v>146</v>
      </c>
      <c r="H17" s="2" t="s">
        <v>129</v>
      </c>
      <c r="I17" s="2" t="s">
        <v>95</v>
      </c>
      <c r="J17" s="2" t="s">
        <v>86</v>
      </c>
      <c r="K17" s="2" t="s">
        <v>96</v>
      </c>
      <c r="L17" s="2" t="s">
        <v>88</v>
      </c>
      <c r="M17" s="4"/>
      <c r="N17" s="52">
        <v>0</v>
      </c>
      <c r="O17" s="2">
        <v>0</v>
      </c>
      <c r="P17" s="3">
        <f t="shared" si="0"/>
        <v>0</v>
      </c>
      <c r="Q17" s="5" t="str">
        <f t="shared" si="1"/>
        <v>-</v>
      </c>
      <c r="R17" s="2">
        <v>228485</v>
      </c>
      <c r="S17" s="2">
        <v>0</v>
      </c>
      <c r="T17" s="3">
        <f t="shared" si="2"/>
        <v>-228485</v>
      </c>
      <c r="U17" s="5">
        <f t="shared" si="3"/>
        <v>-1</v>
      </c>
      <c r="V17" s="67">
        <v>0</v>
      </c>
      <c r="W17" s="2">
        <v>0</v>
      </c>
      <c r="X17" s="3">
        <f t="shared" si="4"/>
        <v>0</v>
      </c>
      <c r="Y17" s="5" t="str">
        <f t="shared" si="5"/>
        <v>-</v>
      </c>
      <c r="Z17" s="2">
        <v>0</v>
      </c>
      <c r="AA17" s="2">
        <v>0</v>
      </c>
      <c r="AB17" s="3">
        <f t="shared" si="6"/>
        <v>0</v>
      </c>
      <c r="AC17" s="5" t="str">
        <f t="shared" si="7"/>
        <v>-</v>
      </c>
      <c r="AD17" s="2">
        <v>0</v>
      </c>
      <c r="AE17" s="2">
        <v>0</v>
      </c>
      <c r="AF17" s="3">
        <f t="shared" si="8"/>
        <v>0</v>
      </c>
      <c r="AG17" s="5" t="str">
        <f t="shared" si="9"/>
        <v>-</v>
      </c>
      <c r="AH17" s="2">
        <v>0</v>
      </c>
      <c r="AI17" s="2">
        <v>0</v>
      </c>
      <c r="AJ17" s="3">
        <f t="shared" si="10"/>
        <v>0</v>
      </c>
      <c r="AK17" s="5" t="str">
        <f t="shared" si="11"/>
        <v>-</v>
      </c>
      <c r="AL17" s="2">
        <v>0</v>
      </c>
      <c r="AM17" s="2">
        <v>0</v>
      </c>
      <c r="AN17" s="3">
        <f t="shared" si="12"/>
        <v>0</v>
      </c>
      <c r="AO17" s="5" t="str">
        <f t="shared" si="13"/>
        <v>-</v>
      </c>
      <c r="AP17" s="2">
        <v>0</v>
      </c>
      <c r="AQ17" s="2">
        <v>0</v>
      </c>
      <c r="AR17" s="3">
        <f t="shared" si="14"/>
        <v>0</v>
      </c>
      <c r="AS17" s="5" t="str">
        <f t="shared" si="15"/>
        <v>-</v>
      </c>
      <c r="AT17" s="2">
        <v>0</v>
      </c>
      <c r="AU17" s="2">
        <v>0</v>
      </c>
      <c r="AV17" s="3">
        <f t="shared" si="16"/>
        <v>0</v>
      </c>
      <c r="AW17" s="5" t="str">
        <f t="shared" si="17"/>
        <v>-</v>
      </c>
      <c r="AX17" s="2">
        <v>0</v>
      </c>
      <c r="AY17" s="2">
        <v>0</v>
      </c>
      <c r="AZ17" s="3">
        <f t="shared" si="18"/>
        <v>0</v>
      </c>
      <c r="BA17" s="5" t="str">
        <f t="shared" si="19"/>
        <v>-</v>
      </c>
      <c r="BB17" s="2">
        <v>0</v>
      </c>
      <c r="BC17" s="2">
        <v>0</v>
      </c>
      <c r="BD17" s="3">
        <f t="shared" si="20"/>
        <v>0</v>
      </c>
      <c r="BE17" s="5" t="str">
        <f t="shared" si="21"/>
        <v>-</v>
      </c>
      <c r="BF17" s="2">
        <v>0</v>
      </c>
      <c r="BG17" s="2">
        <v>0</v>
      </c>
      <c r="BH17" s="3">
        <f t="shared" si="22"/>
        <v>0</v>
      </c>
      <c r="BI17" s="5" t="str">
        <f t="shared" si="23"/>
        <v>-</v>
      </c>
      <c r="BJ17" s="34">
        <f>SUM(Tabela2[[#This Row],[Orçado
Dez]]+Tabela2[[#This Row],[Orçado
Nov]]+Tabela2[[#This Row],[Orçado
Out]]+Tabela2[[#This Row],[Orçado
Set]]+Tabela2[[#This Row],[Orçado
Ago]]+Tabela2[[#This Row],[Orçado
Jul]]+Tabela2[[#This Row],[Orçado
Jun]]+Tabela2[[#This Row],[Orçado
Mai]]+Tabela2[[#This Row],[Orçado
Abr]]+Tabela2[[#This Row],[Orçado
Mar]]+Tabela2[[#This Row],[Orçado
Fev]]+Tabela2[[#This Row],[Orçado
Jan]])</f>
        <v>228485</v>
      </c>
      <c r="BK17" s="3">
        <f t="shared" si="24"/>
        <v>0</v>
      </c>
      <c r="BL17" s="3">
        <f t="shared" si="25"/>
        <v>-228485</v>
      </c>
      <c r="BM17" s="5">
        <f t="shared" si="26"/>
        <v>-1</v>
      </c>
      <c r="BN17" s="1">
        <f>Tabela2[[#This Row],[Total Orçado
Ano]]-Tabela2[[#This Row],[Total Realizado
Ano]]</f>
        <v>228485</v>
      </c>
      <c r="BO17" s="3">
        <f t="shared" si="27"/>
        <v>228485</v>
      </c>
    </row>
    <row r="18" spans="1:67" x14ac:dyDescent="0.25">
      <c r="A18" s="4">
        <v>2026</v>
      </c>
      <c r="B18" s="2" t="s">
        <v>175</v>
      </c>
      <c r="C18" s="2"/>
      <c r="D18" s="2" t="s">
        <v>93</v>
      </c>
      <c r="E18" s="2" t="s">
        <v>1</v>
      </c>
      <c r="F18" s="4" t="s">
        <v>165</v>
      </c>
      <c r="G18" s="2" t="s">
        <v>146</v>
      </c>
      <c r="H18" s="2" t="s">
        <v>129</v>
      </c>
      <c r="I18" s="2" t="s">
        <v>95</v>
      </c>
      <c r="J18" s="2" t="s">
        <v>86</v>
      </c>
      <c r="K18" s="2" t="s">
        <v>96</v>
      </c>
      <c r="L18" s="2" t="s">
        <v>88</v>
      </c>
      <c r="M18" s="4"/>
      <c r="N18" s="52">
        <v>14000</v>
      </c>
      <c r="O18" s="2">
        <v>0</v>
      </c>
      <c r="P18" s="3">
        <f t="shared" si="0"/>
        <v>-14000</v>
      </c>
      <c r="Q18" s="5">
        <f t="shared" si="1"/>
        <v>-1</v>
      </c>
      <c r="R18" s="2">
        <v>0</v>
      </c>
      <c r="S18" s="2">
        <v>0</v>
      </c>
      <c r="T18" s="3">
        <f t="shared" si="2"/>
        <v>0</v>
      </c>
      <c r="U18" s="5" t="str">
        <f t="shared" si="3"/>
        <v>-</v>
      </c>
      <c r="V18" s="67">
        <v>0</v>
      </c>
      <c r="W18" s="2">
        <v>0</v>
      </c>
      <c r="X18" s="3">
        <f t="shared" si="4"/>
        <v>0</v>
      </c>
      <c r="Y18" s="5" t="str">
        <f t="shared" si="5"/>
        <v>-</v>
      </c>
      <c r="Z18" s="2">
        <v>0</v>
      </c>
      <c r="AA18" s="2">
        <v>0</v>
      </c>
      <c r="AB18" s="3">
        <f t="shared" si="6"/>
        <v>0</v>
      </c>
      <c r="AC18" s="5" t="str">
        <f t="shared" si="7"/>
        <v>-</v>
      </c>
      <c r="AD18" s="2">
        <v>0</v>
      </c>
      <c r="AE18" s="2">
        <v>0</v>
      </c>
      <c r="AF18" s="3">
        <f t="shared" si="8"/>
        <v>0</v>
      </c>
      <c r="AG18" s="5" t="str">
        <f t="shared" si="9"/>
        <v>-</v>
      </c>
      <c r="AH18" s="2">
        <v>0</v>
      </c>
      <c r="AI18" s="2">
        <v>0</v>
      </c>
      <c r="AJ18" s="3">
        <f t="shared" si="10"/>
        <v>0</v>
      </c>
      <c r="AK18" s="5" t="str">
        <f t="shared" si="11"/>
        <v>-</v>
      </c>
      <c r="AL18" s="2">
        <v>0</v>
      </c>
      <c r="AM18" s="2">
        <v>0</v>
      </c>
      <c r="AN18" s="3">
        <f t="shared" si="12"/>
        <v>0</v>
      </c>
      <c r="AO18" s="5" t="str">
        <f t="shared" si="13"/>
        <v>-</v>
      </c>
      <c r="AP18" s="2">
        <v>0</v>
      </c>
      <c r="AQ18" s="2">
        <v>0</v>
      </c>
      <c r="AR18" s="3">
        <f t="shared" si="14"/>
        <v>0</v>
      </c>
      <c r="AS18" s="5" t="str">
        <f t="shared" si="15"/>
        <v>-</v>
      </c>
      <c r="AT18" s="2">
        <v>0</v>
      </c>
      <c r="AU18" s="2">
        <v>0</v>
      </c>
      <c r="AV18" s="3">
        <f t="shared" si="16"/>
        <v>0</v>
      </c>
      <c r="AW18" s="5" t="str">
        <f t="shared" si="17"/>
        <v>-</v>
      </c>
      <c r="AX18" s="2">
        <v>0</v>
      </c>
      <c r="AY18" s="2">
        <v>0</v>
      </c>
      <c r="AZ18" s="3">
        <f t="shared" si="18"/>
        <v>0</v>
      </c>
      <c r="BA18" s="5" t="str">
        <f t="shared" si="19"/>
        <v>-</v>
      </c>
      <c r="BB18" s="2">
        <v>0</v>
      </c>
      <c r="BC18" s="2">
        <v>0</v>
      </c>
      <c r="BD18" s="3">
        <f t="shared" si="20"/>
        <v>0</v>
      </c>
      <c r="BE18" s="5" t="str">
        <f t="shared" si="21"/>
        <v>-</v>
      </c>
      <c r="BF18" s="2">
        <v>0</v>
      </c>
      <c r="BG18" s="2">
        <v>0</v>
      </c>
      <c r="BH18" s="3">
        <f t="shared" si="22"/>
        <v>0</v>
      </c>
      <c r="BI18" s="5" t="str">
        <f t="shared" si="23"/>
        <v>-</v>
      </c>
      <c r="BJ18" s="34">
        <f>SUM(Tabela2[[#This Row],[Orçado
Dez]]+Tabela2[[#This Row],[Orçado
Nov]]+Tabela2[[#This Row],[Orçado
Out]]+Tabela2[[#This Row],[Orçado
Set]]+Tabela2[[#This Row],[Orçado
Ago]]+Tabela2[[#This Row],[Orçado
Jul]]+Tabela2[[#This Row],[Orçado
Jun]]+Tabela2[[#This Row],[Orçado
Mai]]+Tabela2[[#This Row],[Orçado
Abr]]+Tabela2[[#This Row],[Orçado
Mar]]+Tabela2[[#This Row],[Orçado
Fev]]+Tabela2[[#This Row],[Orçado
Jan]])</f>
        <v>14000</v>
      </c>
      <c r="BK18" s="3">
        <f t="shared" si="24"/>
        <v>0</v>
      </c>
      <c r="BL18" s="3">
        <f t="shared" si="25"/>
        <v>-14000</v>
      </c>
      <c r="BM18" s="5">
        <f t="shared" si="26"/>
        <v>-1</v>
      </c>
      <c r="BN18" s="1">
        <f>Tabela2[[#This Row],[Total Orçado
Ano]]-Tabela2[[#This Row],[Total Realizado
Ano]]</f>
        <v>14000</v>
      </c>
      <c r="BO18" s="3">
        <f t="shared" si="27"/>
        <v>14000</v>
      </c>
    </row>
    <row r="19" spans="1:67" x14ac:dyDescent="0.25">
      <c r="A19" s="4">
        <v>2026</v>
      </c>
      <c r="B19" s="2" t="s">
        <v>175</v>
      </c>
      <c r="C19" s="2"/>
      <c r="D19" s="2" t="s">
        <v>93</v>
      </c>
      <c r="E19" s="2" t="s">
        <v>1</v>
      </c>
      <c r="F19" s="4" t="s">
        <v>166</v>
      </c>
      <c r="G19" s="2" t="s">
        <v>146</v>
      </c>
      <c r="H19" s="2" t="s">
        <v>129</v>
      </c>
      <c r="I19" s="2" t="s">
        <v>95</v>
      </c>
      <c r="J19" s="2" t="s">
        <v>86</v>
      </c>
      <c r="K19" s="2" t="s">
        <v>96</v>
      </c>
      <c r="L19" s="2" t="s">
        <v>88</v>
      </c>
      <c r="M19" s="4"/>
      <c r="N19" s="52">
        <v>45000</v>
      </c>
      <c r="O19" s="2">
        <v>0</v>
      </c>
      <c r="P19" s="3">
        <f t="shared" si="0"/>
        <v>-45000</v>
      </c>
      <c r="Q19" s="5">
        <f t="shared" si="1"/>
        <v>-1</v>
      </c>
      <c r="R19" s="2">
        <v>0</v>
      </c>
      <c r="S19" s="2">
        <v>0</v>
      </c>
      <c r="T19" s="3">
        <f t="shared" si="2"/>
        <v>0</v>
      </c>
      <c r="U19" s="5" t="str">
        <f t="shared" si="3"/>
        <v>-</v>
      </c>
      <c r="V19" s="67">
        <v>14000</v>
      </c>
      <c r="W19" s="2">
        <v>0</v>
      </c>
      <c r="X19" s="3">
        <f t="shared" si="4"/>
        <v>-14000</v>
      </c>
      <c r="Y19" s="5">
        <f t="shared" si="5"/>
        <v>-1</v>
      </c>
      <c r="Z19" s="2">
        <v>0</v>
      </c>
      <c r="AA19" s="2">
        <v>0</v>
      </c>
      <c r="AB19" s="3">
        <f t="shared" si="6"/>
        <v>0</v>
      </c>
      <c r="AC19" s="5" t="str">
        <f t="shared" si="7"/>
        <v>-</v>
      </c>
      <c r="AD19" s="2">
        <v>0</v>
      </c>
      <c r="AE19" s="2">
        <v>0</v>
      </c>
      <c r="AF19" s="3">
        <f t="shared" si="8"/>
        <v>0</v>
      </c>
      <c r="AG19" s="5" t="str">
        <f t="shared" si="9"/>
        <v>-</v>
      </c>
      <c r="AH19" s="2">
        <v>0</v>
      </c>
      <c r="AI19" s="2">
        <v>0</v>
      </c>
      <c r="AJ19" s="3">
        <f t="shared" si="10"/>
        <v>0</v>
      </c>
      <c r="AK19" s="5" t="str">
        <f t="shared" si="11"/>
        <v>-</v>
      </c>
      <c r="AL19" s="2">
        <v>0</v>
      </c>
      <c r="AM19" s="2">
        <v>0</v>
      </c>
      <c r="AN19" s="3">
        <f t="shared" si="12"/>
        <v>0</v>
      </c>
      <c r="AO19" s="5" t="str">
        <f t="shared" si="13"/>
        <v>-</v>
      </c>
      <c r="AP19" s="2">
        <v>0</v>
      </c>
      <c r="AQ19" s="2">
        <v>0</v>
      </c>
      <c r="AR19" s="3">
        <f t="shared" si="14"/>
        <v>0</v>
      </c>
      <c r="AS19" s="5" t="str">
        <f t="shared" si="15"/>
        <v>-</v>
      </c>
      <c r="AT19" s="2">
        <v>0</v>
      </c>
      <c r="AU19" s="2">
        <v>0</v>
      </c>
      <c r="AV19" s="3">
        <f t="shared" si="16"/>
        <v>0</v>
      </c>
      <c r="AW19" s="5" t="str">
        <f t="shared" si="17"/>
        <v>-</v>
      </c>
      <c r="AX19" s="2">
        <v>0</v>
      </c>
      <c r="AY19" s="2">
        <v>0</v>
      </c>
      <c r="AZ19" s="3">
        <f t="shared" si="18"/>
        <v>0</v>
      </c>
      <c r="BA19" s="5" t="str">
        <f t="shared" si="19"/>
        <v>-</v>
      </c>
      <c r="BB19" s="2">
        <v>0</v>
      </c>
      <c r="BC19" s="2">
        <v>0</v>
      </c>
      <c r="BD19" s="3">
        <f t="shared" si="20"/>
        <v>0</v>
      </c>
      <c r="BE19" s="5" t="str">
        <f t="shared" si="21"/>
        <v>-</v>
      </c>
      <c r="BF19" s="2">
        <v>0</v>
      </c>
      <c r="BG19" s="2">
        <v>0</v>
      </c>
      <c r="BH19" s="3">
        <f t="shared" si="22"/>
        <v>0</v>
      </c>
      <c r="BI19" s="5" t="str">
        <f t="shared" si="23"/>
        <v>-</v>
      </c>
      <c r="BJ19" s="34">
        <f>SUM(Tabela2[[#This Row],[Orçado
Dez]]+Tabela2[[#This Row],[Orçado
Nov]]+Tabela2[[#This Row],[Orçado
Out]]+Tabela2[[#This Row],[Orçado
Set]]+Tabela2[[#This Row],[Orçado
Ago]]+Tabela2[[#This Row],[Orçado
Jul]]+Tabela2[[#This Row],[Orçado
Jun]]+Tabela2[[#This Row],[Orçado
Mai]]+Tabela2[[#This Row],[Orçado
Abr]]+Tabela2[[#This Row],[Orçado
Mar]]+Tabela2[[#This Row],[Orçado
Fev]]+Tabela2[[#This Row],[Orçado
Jan]])</f>
        <v>59000</v>
      </c>
      <c r="BK19" s="3">
        <f t="shared" si="24"/>
        <v>0</v>
      </c>
      <c r="BL19" s="3">
        <f t="shared" si="25"/>
        <v>-59000</v>
      </c>
      <c r="BM19" s="5">
        <f t="shared" si="26"/>
        <v>-1</v>
      </c>
      <c r="BN19" s="1">
        <f>Tabela2[[#This Row],[Total Orçado
Ano]]-Tabela2[[#This Row],[Total Realizado
Ano]]</f>
        <v>59000</v>
      </c>
      <c r="BO19" s="3">
        <f t="shared" si="27"/>
        <v>59000</v>
      </c>
    </row>
    <row r="20" spans="1:67" x14ac:dyDescent="0.25">
      <c r="A20" s="4">
        <v>2026</v>
      </c>
      <c r="B20" s="2" t="s">
        <v>175</v>
      </c>
      <c r="C20" s="2"/>
      <c r="D20" s="2" t="s">
        <v>93</v>
      </c>
      <c r="E20" s="2" t="s">
        <v>1</v>
      </c>
      <c r="F20" s="4" t="s">
        <v>163</v>
      </c>
      <c r="G20" s="2" t="s">
        <v>146</v>
      </c>
      <c r="H20" s="2" t="s">
        <v>129</v>
      </c>
      <c r="I20" s="2" t="s">
        <v>95</v>
      </c>
      <c r="J20" s="2" t="s">
        <v>86</v>
      </c>
      <c r="K20" s="2" t="s">
        <v>96</v>
      </c>
      <c r="L20" s="2" t="s">
        <v>88</v>
      </c>
      <c r="M20" s="4"/>
      <c r="N20" s="52">
        <v>0</v>
      </c>
      <c r="O20" s="2">
        <v>0</v>
      </c>
      <c r="P20" s="3">
        <f t="shared" si="0"/>
        <v>0</v>
      </c>
      <c r="Q20" s="5" t="str">
        <f t="shared" si="1"/>
        <v>-</v>
      </c>
      <c r="R20" s="2">
        <v>70000</v>
      </c>
      <c r="S20" s="2">
        <v>0</v>
      </c>
      <c r="T20" s="3">
        <f t="shared" si="2"/>
        <v>-70000</v>
      </c>
      <c r="U20" s="5">
        <f t="shared" si="3"/>
        <v>-1</v>
      </c>
      <c r="V20" s="67">
        <v>0</v>
      </c>
      <c r="W20" s="2">
        <v>0</v>
      </c>
      <c r="X20" s="3">
        <f t="shared" si="4"/>
        <v>0</v>
      </c>
      <c r="Y20" s="5" t="str">
        <f t="shared" si="5"/>
        <v>-</v>
      </c>
      <c r="Z20" s="2">
        <v>0</v>
      </c>
      <c r="AA20" s="2">
        <v>0</v>
      </c>
      <c r="AB20" s="3">
        <f t="shared" si="6"/>
        <v>0</v>
      </c>
      <c r="AC20" s="5" t="str">
        <f t="shared" si="7"/>
        <v>-</v>
      </c>
      <c r="AD20" s="2">
        <v>0</v>
      </c>
      <c r="AE20" s="2">
        <v>0</v>
      </c>
      <c r="AF20" s="3">
        <f t="shared" si="8"/>
        <v>0</v>
      </c>
      <c r="AG20" s="5" t="str">
        <f t="shared" si="9"/>
        <v>-</v>
      </c>
      <c r="AH20" s="2">
        <v>0</v>
      </c>
      <c r="AI20" s="2">
        <v>0</v>
      </c>
      <c r="AJ20" s="3">
        <f t="shared" si="10"/>
        <v>0</v>
      </c>
      <c r="AK20" s="5" t="str">
        <f t="shared" si="11"/>
        <v>-</v>
      </c>
      <c r="AL20" s="2">
        <v>0</v>
      </c>
      <c r="AM20" s="2">
        <v>0</v>
      </c>
      <c r="AN20" s="3">
        <f t="shared" si="12"/>
        <v>0</v>
      </c>
      <c r="AO20" s="5" t="str">
        <f t="shared" si="13"/>
        <v>-</v>
      </c>
      <c r="AP20" s="2">
        <v>0</v>
      </c>
      <c r="AQ20" s="2">
        <v>0</v>
      </c>
      <c r="AR20" s="3">
        <f t="shared" si="14"/>
        <v>0</v>
      </c>
      <c r="AS20" s="5" t="str">
        <f t="shared" si="15"/>
        <v>-</v>
      </c>
      <c r="AT20" s="2">
        <v>0</v>
      </c>
      <c r="AU20" s="2">
        <v>0</v>
      </c>
      <c r="AV20" s="3">
        <f t="shared" si="16"/>
        <v>0</v>
      </c>
      <c r="AW20" s="5" t="str">
        <f t="shared" si="17"/>
        <v>-</v>
      </c>
      <c r="AX20" s="2">
        <v>0</v>
      </c>
      <c r="AY20" s="2">
        <v>0</v>
      </c>
      <c r="AZ20" s="3">
        <f t="shared" si="18"/>
        <v>0</v>
      </c>
      <c r="BA20" s="5" t="str">
        <f t="shared" si="19"/>
        <v>-</v>
      </c>
      <c r="BB20" s="2">
        <v>0</v>
      </c>
      <c r="BC20" s="2">
        <v>0</v>
      </c>
      <c r="BD20" s="3">
        <f t="shared" si="20"/>
        <v>0</v>
      </c>
      <c r="BE20" s="5" t="str">
        <f t="shared" si="21"/>
        <v>-</v>
      </c>
      <c r="BF20" s="2">
        <v>0</v>
      </c>
      <c r="BG20" s="2">
        <v>0</v>
      </c>
      <c r="BH20" s="3">
        <f t="shared" si="22"/>
        <v>0</v>
      </c>
      <c r="BI20" s="5" t="str">
        <f t="shared" si="23"/>
        <v>-</v>
      </c>
      <c r="BJ20" s="34">
        <f>SUM(Tabela2[[#This Row],[Orçado
Dez]]+Tabela2[[#This Row],[Orçado
Nov]]+Tabela2[[#This Row],[Orçado
Out]]+Tabela2[[#This Row],[Orçado
Set]]+Tabela2[[#This Row],[Orçado
Ago]]+Tabela2[[#This Row],[Orçado
Jul]]+Tabela2[[#This Row],[Orçado
Jun]]+Tabela2[[#This Row],[Orçado
Mai]]+Tabela2[[#This Row],[Orçado
Abr]]+Tabela2[[#This Row],[Orçado
Mar]]+Tabela2[[#This Row],[Orçado
Fev]]+Tabela2[[#This Row],[Orçado
Jan]])</f>
        <v>70000</v>
      </c>
      <c r="BK20" s="3">
        <f t="shared" si="24"/>
        <v>0</v>
      </c>
      <c r="BL20" s="3">
        <f t="shared" si="25"/>
        <v>-70000</v>
      </c>
      <c r="BM20" s="5">
        <f t="shared" si="26"/>
        <v>-1</v>
      </c>
      <c r="BN20" s="1">
        <f>Tabela2[[#This Row],[Total Orçado
Ano]]-Tabela2[[#This Row],[Total Realizado
Ano]]</f>
        <v>70000</v>
      </c>
      <c r="BO20" s="3">
        <f t="shared" si="27"/>
        <v>70000</v>
      </c>
    </row>
    <row r="21" spans="1:67" x14ac:dyDescent="0.25">
      <c r="A21" s="4">
        <v>2026</v>
      </c>
      <c r="B21" s="2" t="s">
        <v>175</v>
      </c>
      <c r="C21" s="2"/>
      <c r="D21" s="2" t="s">
        <v>93</v>
      </c>
      <c r="E21" s="2" t="s">
        <v>1</v>
      </c>
      <c r="F21" s="4" t="s">
        <v>164</v>
      </c>
      <c r="G21" s="2" t="s">
        <v>146</v>
      </c>
      <c r="H21" s="2" t="s">
        <v>129</v>
      </c>
      <c r="I21" s="2" t="s">
        <v>95</v>
      </c>
      <c r="J21" s="2" t="s">
        <v>86</v>
      </c>
      <c r="K21" s="2" t="s">
        <v>96</v>
      </c>
      <c r="L21" s="2" t="s">
        <v>88</v>
      </c>
      <c r="M21" s="4"/>
      <c r="N21" s="52">
        <v>0</v>
      </c>
      <c r="O21" s="2">
        <v>0</v>
      </c>
      <c r="P21" s="3">
        <f t="shared" si="0"/>
        <v>0</v>
      </c>
      <c r="Q21" s="5" t="str">
        <f t="shared" si="1"/>
        <v>-</v>
      </c>
      <c r="R21" s="2">
        <v>70000</v>
      </c>
      <c r="S21" s="2">
        <v>0</v>
      </c>
      <c r="T21" s="3">
        <f t="shared" si="2"/>
        <v>-70000</v>
      </c>
      <c r="U21" s="5">
        <f t="shared" si="3"/>
        <v>-1</v>
      </c>
      <c r="V21" s="67">
        <v>0</v>
      </c>
      <c r="W21" s="2">
        <v>0</v>
      </c>
      <c r="X21" s="3">
        <f t="shared" si="4"/>
        <v>0</v>
      </c>
      <c r="Y21" s="5" t="str">
        <f t="shared" si="5"/>
        <v>-</v>
      </c>
      <c r="Z21" s="2">
        <v>0</v>
      </c>
      <c r="AA21" s="2">
        <v>0</v>
      </c>
      <c r="AB21" s="3">
        <f t="shared" si="6"/>
        <v>0</v>
      </c>
      <c r="AC21" s="5" t="str">
        <f t="shared" si="7"/>
        <v>-</v>
      </c>
      <c r="AD21" s="2">
        <v>0</v>
      </c>
      <c r="AE21" s="2">
        <v>0</v>
      </c>
      <c r="AF21" s="3">
        <f t="shared" si="8"/>
        <v>0</v>
      </c>
      <c r="AG21" s="5" t="str">
        <f t="shared" si="9"/>
        <v>-</v>
      </c>
      <c r="AH21" s="2">
        <v>0</v>
      </c>
      <c r="AI21" s="2">
        <v>0</v>
      </c>
      <c r="AJ21" s="3">
        <f t="shared" si="10"/>
        <v>0</v>
      </c>
      <c r="AK21" s="5" t="str">
        <f t="shared" si="11"/>
        <v>-</v>
      </c>
      <c r="AL21" s="2">
        <v>0</v>
      </c>
      <c r="AM21" s="2">
        <v>0</v>
      </c>
      <c r="AN21" s="3">
        <f t="shared" si="12"/>
        <v>0</v>
      </c>
      <c r="AO21" s="5" t="str">
        <f t="shared" si="13"/>
        <v>-</v>
      </c>
      <c r="AP21" s="2">
        <v>0</v>
      </c>
      <c r="AQ21" s="2">
        <v>0</v>
      </c>
      <c r="AR21" s="3">
        <f t="shared" si="14"/>
        <v>0</v>
      </c>
      <c r="AS21" s="5" t="str">
        <f t="shared" si="15"/>
        <v>-</v>
      </c>
      <c r="AT21" s="2">
        <v>0</v>
      </c>
      <c r="AU21" s="2">
        <v>0</v>
      </c>
      <c r="AV21" s="3">
        <f t="shared" si="16"/>
        <v>0</v>
      </c>
      <c r="AW21" s="5" t="str">
        <f t="shared" si="17"/>
        <v>-</v>
      </c>
      <c r="AX21" s="2">
        <v>0</v>
      </c>
      <c r="AY21" s="2">
        <v>0</v>
      </c>
      <c r="AZ21" s="3">
        <f t="shared" si="18"/>
        <v>0</v>
      </c>
      <c r="BA21" s="5" t="str">
        <f t="shared" si="19"/>
        <v>-</v>
      </c>
      <c r="BB21" s="2">
        <v>0</v>
      </c>
      <c r="BC21" s="2">
        <v>0</v>
      </c>
      <c r="BD21" s="3">
        <f t="shared" si="20"/>
        <v>0</v>
      </c>
      <c r="BE21" s="5" t="str">
        <f t="shared" si="21"/>
        <v>-</v>
      </c>
      <c r="BF21" s="2">
        <v>0</v>
      </c>
      <c r="BG21" s="2">
        <v>0</v>
      </c>
      <c r="BH21" s="3">
        <f t="shared" si="22"/>
        <v>0</v>
      </c>
      <c r="BI21" s="5" t="str">
        <f t="shared" si="23"/>
        <v>-</v>
      </c>
      <c r="BJ21" s="34">
        <f>SUM(Tabela2[[#This Row],[Orçado
Dez]]+Tabela2[[#This Row],[Orçado
Nov]]+Tabela2[[#This Row],[Orçado
Out]]+Tabela2[[#This Row],[Orçado
Set]]+Tabela2[[#This Row],[Orçado
Ago]]+Tabela2[[#This Row],[Orçado
Jul]]+Tabela2[[#This Row],[Orçado
Jun]]+Tabela2[[#This Row],[Orçado
Mai]]+Tabela2[[#This Row],[Orçado
Abr]]+Tabela2[[#This Row],[Orçado
Mar]]+Tabela2[[#This Row],[Orçado
Fev]]+Tabela2[[#This Row],[Orçado
Jan]])</f>
        <v>70000</v>
      </c>
      <c r="BK21" s="3">
        <f t="shared" si="24"/>
        <v>0</v>
      </c>
      <c r="BL21" s="3">
        <f t="shared" si="25"/>
        <v>-70000</v>
      </c>
      <c r="BM21" s="5">
        <f t="shared" si="26"/>
        <v>-1</v>
      </c>
      <c r="BN21" s="1">
        <f>Tabela2[[#This Row],[Total Orçado
Ano]]-Tabela2[[#This Row],[Total Realizado
Ano]]</f>
        <v>70000</v>
      </c>
      <c r="BO21" s="3">
        <f t="shared" si="27"/>
        <v>70000</v>
      </c>
    </row>
    <row r="22" spans="1:67" x14ac:dyDescent="0.25">
      <c r="A22" s="4">
        <v>2026</v>
      </c>
      <c r="B22" s="2" t="s">
        <v>175</v>
      </c>
      <c r="C22" s="2"/>
      <c r="D22" s="2" t="s">
        <v>93</v>
      </c>
      <c r="E22" s="2" t="s">
        <v>2</v>
      </c>
      <c r="F22" s="4" t="s">
        <v>162</v>
      </c>
      <c r="G22" s="2" t="s">
        <v>146</v>
      </c>
      <c r="H22" s="2" t="s">
        <v>129</v>
      </c>
      <c r="I22" s="2" t="s">
        <v>95</v>
      </c>
      <c r="J22" s="2" t="s">
        <v>86</v>
      </c>
      <c r="K22" s="2" t="s">
        <v>96</v>
      </c>
      <c r="L22" s="2" t="s">
        <v>88</v>
      </c>
      <c r="M22" s="4"/>
      <c r="N22" s="52">
        <v>0</v>
      </c>
      <c r="O22" s="2">
        <v>0</v>
      </c>
      <c r="P22" s="3">
        <f t="shared" si="0"/>
        <v>0</v>
      </c>
      <c r="Q22" s="5" t="str">
        <f t="shared" si="1"/>
        <v>-</v>
      </c>
      <c r="R22" s="2">
        <v>19975</v>
      </c>
      <c r="S22" s="2">
        <v>0</v>
      </c>
      <c r="T22" s="3">
        <f t="shared" si="2"/>
        <v>-19975</v>
      </c>
      <c r="U22" s="5">
        <f t="shared" si="3"/>
        <v>-1</v>
      </c>
      <c r="V22" s="67">
        <v>0</v>
      </c>
      <c r="W22" s="2">
        <v>0</v>
      </c>
      <c r="X22" s="3">
        <f t="shared" si="4"/>
        <v>0</v>
      </c>
      <c r="Y22" s="5" t="str">
        <f t="shared" si="5"/>
        <v>-</v>
      </c>
      <c r="Z22" s="2">
        <v>0</v>
      </c>
      <c r="AA22" s="2">
        <v>0</v>
      </c>
      <c r="AB22" s="3">
        <f t="shared" si="6"/>
        <v>0</v>
      </c>
      <c r="AC22" s="5" t="str">
        <f t="shared" si="7"/>
        <v>-</v>
      </c>
      <c r="AD22" s="2">
        <v>0</v>
      </c>
      <c r="AE22" s="2">
        <v>0</v>
      </c>
      <c r="AF22" s="3">
        <f t="shared" si="8"/>
        <v>0</v>
      </c>
      <c r="AG22" s="5" t="str">
        <f t="shared" si="9"/>
        <v>-</v>
      </c>
      <c r="AH22" s="2">
        <v>0</v>
      </c>
      <c r="AI22" s="2">
        <v>0</v>
      </c>
      <c r="AJ22" s="3">
        <f t="shared" si="10"/>
        <v>0</v>
      </c>
      <c r="AK22" s="5" t="str">
        <f t="shared" si="11"/>
        <v>-</v>
      </c>
      <c r="AL22" s="2">
        <v>0</v>
      </c>
      <c r="AM22" s="2">
        <v>0</v>
      </c>
      <c r="AN22" s="3">
        <f t="shared" si="12"/>
        <v>0</v>
      </c>
      <c r="AO22" s="5" t="str">
        <f t="shared" si="13"/>
        <v>-</v>
      </c>
      <c r="AP22" s="2">
        <v>0</v>
      </c>
      <c r="AQ22" s="2">
        <v>0</v>
      </c>
      <c r="AR22" s="3">
        <f t="shared" si="14"/>
        <v>0</v>
      </c>
      <c r="AS22" s="5" t="str">
        <f t="shared" si="15"/>
        <v>-</v>
      </c>
      <c r="AT22" s="2">
        <v>0</v>
      </c>
      <c r="AU22" s="2">
        <v>0</v>
      </c>
      <c r="AV22" s="3">
        <f t="shared" si="16"/>
        <v>0</v>
      </c>
      <c r="AW22" s="5" t="str">
        <f t="shared" si="17"/>
        <v>-</v>
      </c>
      <c r="AX22" s="2">
        <v>0</v>
      </c>
      <c r="AY22" s="2">
        <v>0</v>
      </c>
      <c r="AZ22" s="3">
        <f t="shared" si="18"/>
        <v>0</v>
      </c>
      <c r="BA22" s="5" t="str">
        <f t="shared" si="19"/>
        <v>-</v>
      </c>
      <c r="BB22" s="2">
        <v>0</v>
      </c>
      <c r="BC22" s="2">
        <v>0</v>
      </c>
      <c r="BD22" s="3">
        <f t="shared" si="20"/>
        <v>0</v>
      </c>
      <c r="BE22" s="5" t="str">
        <f t="shared" si="21"/>
        <v>-</v>
      </c>
      <c r="BF22" s="2">
        <v>0</v>
      </c>
      <c r="BG22" s="2">
        <v>0</v>
      </c>
      <c r="BH22" s="3">
        <f t="shared" si="22"/>
        <v>0</v>
      </c>
      <c r="BI22" s="5" t="str">
        <f t="shared" si="23"/>
        <v>-</v>
      </c>
      <c r="BJ22" s="34">
        <f>SUM(Tabela2[[#This Row],[Orçado
Dez]]+Tabela2[[#This Row],[Orçado
Nov]]+Tabela2[[#This Row],[Orçado
Out]]+Tabela2[[#This Row],[Orçado
Set]]+Tabela2[[#This Row],[Orçado
Ago]]+Tabela2[[#This Row],[Orçado
Jul]]+Tabela2[[#This Row],[Orçado
Jun]]+Tabela2[[#This Row],[Orçado
Mai]]+Tabela2[[#This Row],[Orçado
Abr]]+Tabela2[[#This Row],[Orçado
Mar]]+Tabela2[[#This Row],[Orçado
Fev]]+Tabela2[[#This Row],[Orçado
Jan]])</f>
        <v>19975</v>
      </c>
      <c r="BK22" s="3">
        <f t="shared" si="24"/>
        <v>0</v>
      </c>
      <c r="BL22" s="3">
        <f t="shared" si="25"/>
        <v>-19975</v>
      </c>
      <c r="BM22" s="5">
        <f t="shared" si="26"/>
        <v>-1</v>
      </c>
      <c r="BN22" s="1">
        <f>Tabela2[[#This Row],[Total Orçado
Ano]]-Tabela2[[#This Row],[Total Realizado
Ano]]</f>
        <v>19975</v>
      </c>
      <c r="BO22" s="3">
        <f t="shared" si="27"/>
        <v>19975</v>
      </c>
    </row>
    <row r="23" spans="1:67" x14ac:dyDescent="0.25">
      <c r="A23" s="4">
        <v>2026</v>
      </c>
      <c r="B23" s="2" t="s">
        <v>175</v>
      </c>
      <c r="C23" s="2"/>
      <c r="D23" s="2" t="s">
        <v>93</v>
      </c>
      <c r="E23" s="2" t="s">
        <v>2</v>
      </c>
      <c r="F23" s="4" t="s">
        <v>161</v>
      </c>
      <c r="G23" s="2" t="s">
        <v>146</v>
      </c>
      <c r="H23" s="2" t="s">
        <v>129</v>
      </c>
      <c r="I23" s="2" t="s">
        <v>95</v>
      </c>
      <c r="J23" s="2" t="s">
        <v>86</v>
      </c>
      <c r="K23" s="2" t="s">
        <v>96</v>
      </c>
      <c r="L23" s="2" t="s">
        <v>88</v>
      </c>
      <c r="M23" s="4"/>
      <c r="N23" s="52">
        <v>0</v>
      </c>
      <c r="O23" s="2">
        <v>0</v>
      </c>
      <c r="P23" s="3">
        <f t="shared" si="0"/>
        <v>0</v>
      </c>
      <c r="Q23" s="5" t="str">
        <f t="shared" si="1"/>
        <v>-</v>
      </c>
      <c r="R23" s="2">
        <v>3038</v>
      </c>
      <c r="S23" s="2">
        <v>0</v>
      </c>
      <c r="T23" s="3">
        <f t="shared" si="2"/>
        <v>-3038</v>
      </c>
      <c r="U23" s="5">
        <f t="shared" si="3"/>
        <v>-1</v>
      </c>
      <c r="V23" s="67">
        <v>0</v>
      </c>
      <c r="W23" s="2">
        <v>0</v>
      </c>
      <c r="X23" s="3">
        <f t="shared" si="4"/>
        <v>0</v>
      </c>
      <c r="Y23" s="5" t="str">
        <f t="shared" si="5"/>
        <v>-</v>
      </c>
      <c r="Z23" s="2">
        <v>0</v>
      </c>
      <c r="AA23" s="2">
        <v>0</v>
      </c>
      <c r="AB23" s="3">
        <f t="shared" si="6"/>
        <v>0</v>
      </c>
      <c r="AC23" s="5" t="str">
        <f t="shared" si="7"/>
        <v>-</v>
      </c>
      <c r="AD23" s="2">
        <v>0</v>
      </c>
      <c r="AE23" s="2">
        <v>0</v>
      </c>
      <c r="AF23" s="3">
        <f t="shared" si="8"/>
        <v>0</v>
      </c>
      <c r="AG23" s="5" t="str">
        <f t="shared" si="9"/>
        <v>-</v>
      </c>
      <c r="AH23" s="2">
        <v>0</v>
      </c>
      <c r="AI23" s="2">
        <v>0</v>
      </c>
      <c r="AJ23" s="3">
        <f t="shared" si="10"/>
        <v>0</v>
      </c>
      <c r="AK23" s="5" t="str">
        <f t="shared" si="11"/>
        <v>-</v>
      </c>
      <c r="AL23" s="2">
        <v>0</v>
      </c>
      <c r="AM23" s="2">
        <v>0</v>
      </c>
      <c r="AN23" s="3">
        <f t="shared" si="12"/>
        <v>0</v>
      </c>
      <c r="AO23" s="5" t="str">
        <f t="shared" si="13"/>
        <v>-</v>
      </c>
      <c r="AP23" s="2">
        <v>0</v>
      </c>
      <c r="AQ23" s="2">
        <v>0</v>
      </c>
      <c r="AR23" s="3">
        <f t="shared" si="14"/>
        <v>0</v>
      </c>
      <c r="AS23" s="5" t="str">
        <f t="shared" si="15"/>
        <v>-</v>
      </c>
      <c r="AT23" s="2">
        <v>0</v>
      </c>
      <c r="AU23" s="2">
        <v>0</v>
      </c>
      <c r="AV23" s="3">
        <f t="shared" si="16"/>
        <v>0</v>
      </c>
      <c r="AW23" s="5" t="str">
        <f t="shared" si="17"/>
        <v>-</v>
      </c>
      <c r="AX23" s="2">
        <v>0</v>
      </c>
      <c r="AY23" s="2">
        <v>0</v>
      </c>
      <c r="AZ23" s="3">
        <f t="shared" si="18"/>
        <v>0</v>
      </c>
      <c r="BA23" s="5" t="str">
        <f t="shared" si="19"/>
        <v>-</v>
      </c>
      <c r="BB23" s="2">
        <v>0</v>
      </c>
      <c r="BC23" s="2">
        <v>0</v>
      </c>
      <c r="BD23" s="3">
        <f t="shared" si="20"/>
        <v>0</v>
      </c>
      <c r="BE23" s="5" t="str">
        <f t="shared" si="21"/>
        <v>-</v>
      </c>
      <c r="BF23" s="2">
        <v>0</v>
      </c>
      <c r="BG23" s="2">
        <v>0</v>
      </c>
      <c r="BH23" s="3">
        <f t="shared" si="22"/>
        <v>0</v>
      </c>
      <c r="BI23" s="5" t="str">
        <f t="shared" si="23"/>
        <v>-</v>
      </c>
      <c r="BJ23" s="34">
        <f>SUM(Tabela2[[#This Row],[Orçado
Dez]]+Tabela2[[#This Row],[Orçado
Nov]]+Tabela2[[#This Row],[Orçado
Out]]+Tabela2[[#This Row],[Orçado
Set]]+Tabela2[[#This Row],[Orçado
Ago]]+Tabela2[[#This Row],[Orçado
Jul]]+Tabela2[[#This Row],[Orçado
Jun]]+Tabela2[[#This Row],[Orçado
Mai]]+Tabela2[[#This Row],[Orçado
Abr]]+Tabela2[[#This Row],[Orçado
Mar]]+Tabela2[[#This Row],[Orçado
Fev]]+Tabela2[[#This Row],[Orçado
Jan]])</f>
        <v>3038</v>
      </c>
      <c r="BK23" s="3">
        <f t="shared" si="24"/>
        <v>0</v>
      </c>
      <c r="BL23" s="3">
        <f t="shared" si="25"/>
        <v>-3038</v>
      </c>
      <c r="BM23" s="5">
        <f t="shared" si="26"/>
        <v>-1</v>
      </c>
      <c r="BN23" s="1">
        <f>Tabela2[[#This Row],[Total Orçado
Ano]]-Tabela2[[#This Row],[Total Realizado
Ano]]</f>
        <v>3038</v>
      </c>
      <c r="BO23" s="3">
        <f t="shared" si="27"/>
        <v>3038</v>
      </c>
    </row>
    <row r="24" spans="1:67" x14ac:dyDescent="0.25">
      <c r="A24" s="4">
        <v>2026</v>
      </c>
      <c r="B24" s="2" t="s">
        <v>175</v>
      </c>
      <c r="C24" s="2"/>
      <c r="D24" s="2" t="s">
        <v>93</v>
      </c>
      <c r="E24" s="2" t="s">
        <v>2</v>
      </c>
      <c r="F24" s="4" t="s">
        <v>160</v>
      </c>
      <c r="G24" s="2" t="s">
        <v>146</v>
      </c>
      <c r="H24" s="2" t="s">
        <v>129</v>
      </c>
      <c r="I24" s="2" t="s">
        <v>95</v>
      </c>
      <c r="J24" s="2" t="s">
        <v>86</v>
      </c>
      <c r="K24" s="2" t="s">
        <v>96</v>
      </c>
      <c r="L24" s="2" t="s">
        <v>88</v>
      </c>
      <c r="M24" s="4"/>
      <c r="N24" s="52">
        <v>0</v>
      </c>
      <c r="O24" s="2">
        <v>0</v>
      </c>
      <c r="P24" s="3">
        <f t="shared" si="0"/>
        <v>0</v>
      </c>
      <c r="Q24" s="5" t="str">
        <f t="shared" si="1"/>
        <v>-</v>
      </c>
      <c r="R24" s="2">
        <v>58897</v>
      </c>
      <c r="S24" s="2">
        <v>0</v>
      </c>
      <c r="T24" s="3">
        <f t="shared" si="2"/>
        <v>-58897</v>
      </c>
      <c r="U24" s="5">
        <f t="shared" si="3"/>
        <v>-1</v>
      </c>
      <c r="V24" s="67">
        <v>0</v>
      </c>
      <c r="W24" s="2">
        <v>0</v>
      </c>
      <c r="X24" s="3">
        <f t="shared" si="4"/>
        <v>0</v>
      </c>
      <c r="Y24" s="5" t="str">
        <f t="shared" si="5"/>
        <v>-</v>
      </c>
      <c r="Z24" s="2">
        <v>0</v>
      </c>
      <c r="AA24" s="2">
        <v>0</v>
      </c>
      <c r="AB24" s="3">
        <f t="shared" si="6"/>
        <v>0</v>
      </c>
      <c r="AC24" s="5" t="str">
        <f t="shared" si="7"/>
        <v>-</v>
      </c>
      <c r="AD24" s="2">
        <v>0</v>
      </c>
      <c r="AE24" s="2">
        <v>0</v>
      </c>
      <c r="AF24" s="3">
        <f t="shared" si="8"/>
        <v>0</v>
      </c>
      <c r="AG24" s="5" t="str">
        <f t="shared" si="9"/>
        <v>-</v>
      </c>
      <c r="AH24" s="2">
        <v>0</v>
      </c>
      <c r="AI24" s="2">
        <v>0</v>
      </c>
      <c r="AJ24" s="3">
        <f t="shared" si="10"/>
        <v>0</v>
      </c>
      <c r="AK24" s="5" t="str">
        <f t="shared" si="11"/>
        <v>-</v>
      </c>
      <c r="AL24" s="2">
        <v>0</v>
      </c>
      <c r="AM24" s="2">
        <v>0</v>
      </c>
      <c r="AN24" s="3">
        <f t="shared" si="12"/>
        <v>0</v>
      </c>
      <c r="AO24" s="5" t="str">
        <f t="shared" si="13"/>
        <v>-</v>
      </c>
      <c r="AP24" s="2">
        <v>0</v>
      </c>
      <c r="AQ24" s="2">
        <v>0</v>
      </c>
      <c r="AR24" s="3">
        <f t="shared" si="14"/>
        <v>0</v>
      </c>
      <c r="AS24" s="5" t="str">
        <f t="shared" si="15"/>
        <v>-</v>
      </c>
      <c r="AT24" s="2">
        <v>0</v>
      </c>
      <c r="AU24" s="2">
        <v>0</v>
      </c>
      <c r="AV24" s="3">
        <f t="shared" si="16"/>
        <v>0</v>
      </c>
      <c r="AW24" s="5" t="str">
        <f t="shared" si="17"/>
        <v>-</v>
      </c>
      <c r="AX24" s="2">
        <v>0</v>
      </c>
      <c r="AY24" s="2">
        <v>0</v>
      </c>
      <c r="AZ24" s="3">
        <f t="shared" si="18"/>
        <v>0</v>
      </c>
      <c r="BA24" s="5" t="str">
        <f t="shared" si="19"/>
        <v>-</v>
      </c>
      <c r="BB24" s="2">
        <v>0</v>
      </c>
      <c r="BC24" s="2">
        <v>0</v>
      </c>
      <c r="BD24" s="3">
        <f t="shared" si="20"/>
        <v>0</v>
      </c>
      <c r="BE24" s="5" t="str">
        <f t="shared" si="21"/>
        <v>-</v>
      </c>
      <c r="BF24" s="2">
        <v>0</v>
      </c>
      <c r="BG24" s="2">
        <v>0</v>
      </c>
      <c r="BH24" s="3">
        <f t="shared" si="22"/>
        <v>0</v>
      </c>
      <c r="BI24" s="5" t="str">
        <f t="shared" si="23"/>
        <v>-</v>
      </c>
      <c r="BJ24" s="34">
        <f>SUM(Tabela2[[#This Row],[Orçado
Dez]]+Tabela2[[#This Row],[Orçado
Nov]]+Tabela2[[#This Row],[Orçado
Out]]+Tabela2[[#This Row],[Orçado
Set]]+Tabela2[[#This Row],[Orçado
Ago]]+Tabela2[[#This Row],[Orçado
Jul]]+Tabela2[[#This Row],[Orçado
Jun]]+Tabela2[[#This Row],[Orçado
Mai]]+Tabela2[[#This Row],[Orçado
Abr]]+Tabela2[[#This Row],[Orçado
Mar]]+Tabela2[[#This Row],[Orçado
Fev]]+Tabela2[[#This Row],[Orçado
Jan]])</f>
        <v>58897</v>
      </c>
      <c r="BK24" s="3">
        <f t="shared" si="24"/>
        <v>0</v>
      </c>
      <c r="BL24" s="3">
        <f t="shared" si="25"/>
        <v>-58897</v>
      </c>
      <c r="BM24" s="5">
        <f t="shared" si="26"/>
        <v>-1</v>
      </c>
      <c r="BN24" s="1">
        <f>Tabela2[[#This Row],[Total Orçado
Ano]]-Tabela2[[#This Row],[Total Realizado
Ano]]</f>
        <v>58897</v>
      </c>
      <c r="BO24" s="3">
        <f t="shared" si="27"/>
        <v>58897</v>
      </c>
    </row>
    <row r="25" spans="1:67" x14ac:dyDescent="0.25">
      <c r="A25" s="4">
        <v>2026</v>
      </c>
      <c r="B25" s="2" t="s">
        <v>175</v>
      </c>
      <c r="C25" s="2"/>
      <c r="D25" s="2" t="s">
        <v>93</v>
      </c>
      <c r="E25" s="2" t="s">
        <v>2</v>
      </c>
      <c r="F25" s="4" t="s">
        <v>159</v>
      </c>
      <c r="G25" s="2" t="s">
        <v>146</v>
      </c>
      <c r="H25" s="2" t="s">
        <v>129</v>
      </c>
      <c r="I25" s="2" t="s">
        <v>95</v>
      </c>
      <c r="J25" s="2" t="s">
        <v>86</v>
      </c>
      <c r="K25" s="2" t="s">
        <v>96</v>
      </c>
      <c r="L25" s="2" t="s">
        <v>88</v>
      </c>
      <c r="M25" s="4"/>
      <c r="N25" s="52">
        <v>0</v>
      </c>
      <c r="O25" s="2">
        <v>0</v>
      </c>
      <c r="P25" s="3">
        <f t="shared" si="0"/>
        <v>0</v>
      </c>
      <c r="Q25" s="5" t="str">
        <f t="shared" si="1"/>
        <v>-</v>
      </c>
      <c r="R25" s="2">
        <v>49299</v>
      </c>
      <c r="S25" s="2">
        <v>0</v>
      </c>
      <c r="T25" s="3">
        <f t="shared" si="2"/>
        <v>-49299</v>
      </c>
      <c r="U25" s="5">
        <f t="shared" si="3"/>
        <v>-1</v>
      </c>
      <c r="V25" s="67">
        <v>0</v>
      </c>
      <c r="W25" s="2">
        <v>0</v>
      </c>
      <c r="X25" s="3">
        <f t="shared" si="4"/>
        <v>0</v>
      </c>
      <c r="Y25" s="5" t="str">
        <f t="shared" si="5"/>
        <v>-</v>
      </c>
      <c r="Z25" s="2">
        <v>0</v>
      </c>
      <c r="AA25" s="2">
        <v>0</v>
      </c>
      <c r="AB25" s="3">
        <f t="shared" si="6"/>
        <v>0</v>
      </c>
      <c r="AC25" s="5" t="str">
        <f t="shared" si="7"/>
        <v>-</v>
      </c>
      <c r="AD25" s="2">
        <v>0</v>
      </c>
      <c r="AE25" s="2">
        <v>0</v>
      </c>
      <c r="AF25" s="3">
        <f t="shared" si="8"/>
        <v>0</v>
      </c>
      <c r="AG25" s="5" t="str">
        <f t="shared" si="9"/>
        <v>-</v>
      </c>
      <c r="AH25" s="2">
        <v>0</v>
      </c>
      <c r="AI25" s="2">
        <v>0</v>
      </c>
      <c r="AJ25" s="3">
        <f t="shared" si="10"/>
        <v>0</v>
      </c>
      <c r="AK25" s="5" t="str">
        <f t="shared" si="11"/>
        <v>-</v>
      </c>
      <c r="AL25" s="2">
        <v>0</v>
      </c>
      <c r="AM25" s="2">
        <v>0</v>
      </c>
      <c r="AN25" s="3">
        <f t="shared" si="12"/>
        <v>0</v>
      </c>
      <c r="AO25" s="5" t="str">
        <f t="shared" si="13"/>
        <v>-</v>
      </c>
      <c r="AP25" s="2">
        <v>0</v>
      </c>
      <c r="AQ25" s="2">
        <v>0</v>
      </c>
      <c r="AR25" s="3">
        <f t="shared" si="14"/>
        <v>0</v>
      </c>
      <c r="AS25" s="5" t="str">
        <f t="shared" si="15"/>
        <v>-</v>
      </c>
      <c r="AT25" s="2">
        <v>0</v>
      </c>
      <c r="AU25" s="2">
        <v>0</v>
      </c>
      <c r="AV25" s="3">
        <f t="shared" si="16"/>
        <v>0</v>
      </c>
      <c r="AW25" s="5" t="str">
        <f t="shared" si="17"/>
        <v>-</v>
      </c>
      <c r="AX25" s="2">
        <v>0</v>
      </c>
      <c r="AY25" s="2">
        <v>0</v>
      </c>
      <c r="AZ25" s="3">
        <f t="shared" si="18"/>
        <v>0</v>
      </c>
      <c r="BA25" s="5" t="str">
        <f t="shared" si="19"/>
        <v>-</v>
      </c>
      <c r="BB25" s="2">
        <v>0</v>
      </c>
      <c r="BC25" s="2">
        <v>0</v>
      </c>
      <c r="BD25" s="3">
        <f t="shared" si="20"/>
        <v>0</v>
      </c>
      <c r="BE25" s="5" t="str">
        <f t="shared" si="21"/>
        <v>-</v>
      </c>
      <c r="BF25" s="2">
        <v>0</v>
      </c>
      <c r="BG25" s="2">
        <v>0</v>
      </c>
      <c r="BH25" s="3">
        <f t="shared" si="22"/>
        <v>0</v>
      </c>
      <c r="BI25" s="5" t="str">
        <f t="shared" si="23"/>
        <v>-</v>
      </c>
      <c r="BJ25" s="34">
        <f>SUM(Tabela2[[#This Row],[Orçado
Dez]]+Tabela2[[#This Row],[Orçado
Nov]]+Tabela2[[#This Row],[Orçado
Out]]+Tabela2[[#This Row],[Orçado
Set]]+Tabela2[[#This Row],[Orçado
Ago]]+Tabela2[[#This Row],[Orçado
Jul]]+Tabela2[[#This Row],[Orçado
Jun]]+Tabela2[[#This Row],[Orçado
Mai]]+Tabela2[[#This Row],[Orçado
Abr]]+Tabela2[[#This Row],[Orçado
Mar]]+Tabela2[[#This Row],[Orçado
Fev]]+Tabela2[[#This Row],[Orçado
Jan]])</f>
        <v>49299</v>
      </c>
      <c r="BK25" s="3">
        <f t="shared" si="24"/>
        <v>0</v>
      </c>
      <c r="BL25" s="3">
        <f t="shared" si="25"/>
        <v>-49299</v>
      </c>
      <c r="BM25" s="5">
        <f t="shared" si="26"/>
        <v>-1</v>
      </c>
      <c r="BN25" s="1">
        <f>Tabela2[[#This Row],[Total Orçado
Ano]]-Tabela2[[#This Row],[Total Realizado
Ano]]</f>
        <v>49299</v>
      </c>
      <c r="BO25" s="3">
        <f t="shared" si="27"/>
        <v>49299</v>
      </c>
    </row>
    <row r="26" spans="1:67" x14ac:dyDescent="0.25">
      <c r="A26" s="4">
        <v>2026</v>
      </c>
      <c r="B26" s="2" t="s">
        <v>174</v>
      </c>
      <c r="C26" s="2"/>
      <c r="D26" s="2" t="s">
        <v>93</v>
      </c>
      <c r="E26" s="2" t="s">
        <v>2</v>
      </c>
      <c r="F26" s="4" t="s">
        <v>154</v>
      </c>
      <c r="G26" s="2" t="s">
        <v>145</v>
      </c>
      <c r="H26" s="2" t="s">
        <v>145</v>
      </c>
      <c r="I26" s="2" t="s">
        <v>95</v>
      </c>
      <c r="J26" s="2" t="s">
        <v>86</v>
      </c>
      <c r="K26" s="2" t="s">
        <v>96</v>
      </c>
      <c r="L26" s="2" t="s">
        <v>88</v>
      </c>
      <c r="M26" s="4"/>
      <c r="N26" s="51">
        <v>0</v>
      </c>
      <c r="O26" s="2">
        <v>0</v>
      </c>
      <c r="P26" s="3">
        <f t="shared" si="0"/>
        <v>0</v>
      </c>
      <c r="Q26" s="5" t="str">
        <f t="shared" si="1"/>
        <v>-</v>
      </c>
      <c r="R26" s="2">
        <v>0</v>
      </c>
      <c r="S26" s="2">
        <v>0</v>
      </c>
      <c r="T26" s="3">
        <f t="shared" si="2"/>
        <v>0</v>
      </c>
      <c r="U26" s="5" t="str">
        <f t="shared" si="3"/>
        <v>-</v>
      </c>
      <c r="V26" s="67">
        <v>0</v>
      </c>
      <c r="W26" s="2">
        <v>0</v>
      </c>
      <c r="X26" s="3">
        <f t="shared" si="4"/>
        <v>0</v>
      </c>
      <c r="Y26" s="5" t="str">
        <f t="shared" si="5"/>
        <v>-</v>
      </c>
      <c r="Z26" s="2">
        <v>0</v>
      </c>
      <c r="AA26" s="2">
        <v>0</v>
      </c>
      <c r="AB26" s="3">
        <f t="shared" si="6"/>
        <v>0</v>
      </c>
      <c r="AC26" s="5" t="str">
        <f t="shared" si="7"/>
        <v>-</v>
      </c>
      <c r="AD26" s="2">
        <v>16800</v>
      </c>
      <c r="AE26" s="2">
        <v>0</v>
      </c>
      <c r="AF26" s="3">
        <f t="shared" si="8"/>
        <v>-16800</v>
      </c>
      <c r="AG26" s="5">
        <f t="shared" si="9"/>
        <v>-1</v>
      </c>
      <c r="AH26" s="2">
        <v>0</v>
      </c>
      <c r="AI26" s="2">
        <v>0</v>
      </c>
      <c r="AJ26" s="3">
        <f t="shared" si="10"/>
        <v>0</v>
      </c>
      <c r="AK26" s="5" t="str">
        <f t="shared" si="11"/>
        <v>-</v>
      </c>
      <c r="AL26" s="2">
        <v>0</v>
      </c>
      <c r="AM26" s="2">
        <v>0</v>
      </c>
      <c r="AN26" s="3">
        <f t="shared" si="12"/>
        <v>0</v>
      </c>
      <c r="AO26" s="5" t="str">
        <f t="shared" si="13"/>
        <v>-</v>
      </c>
      <c r="AP26" s="2">
        <v>0</v>
      </c>
      <c r="AQ26" s="2">
        <v>0</v>
      </c>
      <c r="AR26" s="3">
        <f t="shared" si="14"/>
        <v>0</v>
      </c>
      <c r="AS26" s="5" t="str">
        <f t="shared" si="15"/>
        <v>-</v>
      </c>
      <c r="AT26" s="2">
        <v>0</v>
      </c>
      <c r="AU26" s="2">
        <v>0</v>
      </c>
      <c r="AV26" s="3">
        <f t="shared" si="16"/>
        <v>0</v>
      </c>
      <c r="AW26" s="5" t="str">
        <f t="shared" si="17"/>
        <v>-</v>
      </c>
      <c r="AX26" s="2">
        <v>0</v>
      </c>
      <c r="AY26" s="2">
        <v>0</v>
      </c>
      <c r="AZ26" s="3">
        <f t="shared" si="18"/>
        <v>0</v>
      </c>
      <c r="BA26" s="5" t="str">
        <f t="shared" si="19"/>
        <v>-</v>
      </c>
      <c r="BB26" s="2">
        <v>0</v>
      </c>
      <c r="BC26" s="2">
        <v>0</v>
      </c>
      <c r="BD26" s="3">
        <f t="shared" si="20"/>
        <v>0</v>
      </c>
      <c r="BE26" s="5" t="str">
        <f t="shared" si="21"/>
        <v>-</v>
      </c>
      <c r="BF26" s="2">
        <v>0</v>
      </c>
      <c r="BG26" s="2">
        <v>0</v>
      </c>
      <c r="BH26" s="3">
        <f t="shared" si="22"/>
        <v>0</v>
      </c>
      <c r="BI26" s="5" t="str">
        <f t="shared" si="23"/>
        <v>-</v>
      </c>
      <c r="BJ26" s="34">
        <f>SUM(Tabela2[[#This Row],[Orçado
Dez]]+Tabela2[[#This Row],[Orçado
Nov]]+Tabela2[[#This Row],[Orçado
Out]]+Tabela2[[#This Row],[Orçado
Set]]+Tabela2[[#This Row],[Orçado
Ago]]+Tabela2[[#This Row],[Orçado
Jul]]+Tabela2[[#This Row],[Orçado
Jun]]+Tabela2[[#This Row],[Orçado
Mai]]+Tabela2[[#This Row],[Orçado
Abr]]+Tabela2[[#This Row],[Orçado
Mar]]+Tabela2[[#This Row],[Orçado
Fev]]+Tabela2[[#This Row],[Orçado
Jan]])</f>
        <v>16800</v>
      </c>
      <c r="BK26" s="34">
        <f t="shared" si="24"/>
        <v>0</v>
      </c>
      <c r="BL26" s="34">
        <f t="shared" si="25"/>
        <v>-16800</v>
      </c>
      <c r="BM26" s="5">
        <f t="shared" si="26"/>
        <v>-1</v>
      </c>
      <c r="BN26" s="43">
        <f>Tabela2[[#This Row],[Total Orçado
Ano]]-Tabela2[[#This Row],[Total Realizado
Ano]]</f>
        <v>16800</v>
      </c>
      <c r="BO26" s="34">
        <f t="shared" si="27"/>
        <v>16800</v>
      </c>
    </row>
  </sheetData>
  <mergeCells count="15">
    <mergeCell ref="A1:BO1"/>
    <mergeCell ref="N2:Q2"/>
    <mergeCell ref="R2:U2"/>
    <mergeCell ref="V2:Y2"/>
    <mergeCell ref="Z2:AC2"/>
    <mergeCell ref="AD2:AG2"/>
    <mergeCell ref="AH2:AK2"/>
    <mergeCell ref="AL2:AO2"/>
    <mergeCell ref="AP2:AS2"/>
    <mergeCell ref="AT2:AW2"/>
    <mergeCell ref="AX2:BA2"/>
    <mergeCell ref="BB2:BE2"/>
    <mergeCell ref="BF2:BI2"/>
    <mergeCell ref="BJ2:BO2"/>
    <mergeCell ref="A2:M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0600-000001000000}">
          <x14:formula1>
            <xm:f>#REF!</xm:f>
          </x14:formula1>
          <x14:formula2>
            <xm:f>0</xm:f>
          </x14:formula2>
          <xm:sqref>D27:D496</xm:sqref>
        </x14:dataValidation>
        <x14:dataValidation type="list" allowBlank="1" xr:uid="{00000000-0002-0000-0600-000002000000}">
          <x14:formula1>
            <xm:f>#REF!</xm:f>
          </x14:formula1>
          <x14:formula2>
            <xm:f>0</xm:f>
          </x14:formula2>
          <xm:sqref>E27:E496</xm:sqref>
        </x14:dataValidation>
        <x14:dataValidation type="list" allowBlank="1" xr:uid="{00000000-0002-0000-0600-000003000000}">
          <x14:formula1>
            <xm:f>#REF!</xm:f>
          </x14:formula1>
          <x14:formula2>
            <xm:f>0</xm:f>
          </x14:formula2>
          <xm:sqref>F27:F496</xm:sqref>
        </x14:dataValidation>
        <x14:dataValidation type="list" allowBlank="1" xr:uid="{00000000-0002-0000-0600-000004000000}">
          <x14:formula1>
            <xm:f>#REF!</xm:f>
          </x14:formula1>
          <x14:formula2>
            <xm:f>0</xm:f>
          </x14:formula2>
          <xm:sqref>L27:L496 I27:I496</xm:sqref>
        </x14:dataValidation>
        <x14:dataValidation type="list" allowBlank="1" xr:uid="{00000000-0002-0000-0600-000005000000}">
          <x14:formula1>
            <xm:f>#REF!</xm:f>
          </x14:formula1>
          <x14:formula2>
            <xm:f>0</xm:f>
          </x14:formula2>
          <xm:sqref>J27:J496</xm:sqref>
        </x14:dataValidation>
        <x14:dataValidation type="list" allowBlank="1" xr:uid="{00000000-0002-0000-0600-000000000000}">
          <x14:formula1>
            <xm:f>#REF!</xm:f>
          </x14:formula1>
          <x14:formula2>
            <xm:f>0</xm:f>
          </x14:formula2>
          <xm:sqref>B27:C496</xm:sqref>
        </x14:dataValidation>
        <x14:dataValidation type="list" allowBlank="1" showInputMessage="1" showErrorMessage="1" xr:uid="{56324AFA-2D24-4154-AE5E-F2DA3F289503}">
          <x14:formula1>
            <xm:f>#REF!</xm:f>
          </x14:formula1>
          <xm:sqref>E4:E26</xm:sqref>
        </x14:dataValidation>
        <x14:dataValidation type="list" allowBlank="1" showInputMessage="1" showErrorMessage="1" xr:uid="{B876E58C-4080-47F9-9EED-2F4DCD0CDFA2}">
          <x14:formula1>
            <xm:f>#REF!</xm:f>
          </x14:formula1>
          <xm:sqref>F4:F26</xm:sqref>
        </x14:dataValidation>
        <x14:dataValidation type="list" allowBlank="1" showInputMessage="1" showErrorMessage="1" xr:uid="{B2A25BB6-D9B9-4885-A2FC-E795B8E09BBB}">
          <x14:formula1>
            <xm:f>#REF!</xm:f>
          </x14:formula1>
          <xm:sqref>C4:C26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P87"/>
  <sheetViews>
    <sheetView showGridLines="0" tabSelected="1" topLeftCell="C1" zoomScaleNormal="100" workbookViewId="0">
      <selection activeCell="H10" sqref="H10"/>
    </sheetView>
  </sheetViews>
  <sheetFormatPr defaultColWidth="22.28515625" defaultRowHeight="15" x14ac:dyDescent="0.25"/>
  <cols>
    <col min="1" max="1" width="10.140625" style="26" bestFit="1" customWidth="1"/>
    <col min="2" max="2" width="21.28515625" style="7" bestFit="1" customWidth="1"/>
    <col min="3" max="3" width="46.28515625" style="7" bestFit="1" customWidth="1"/>
    <col min="4" max="4" width="27.7109375" style="7" bestFit="1" customWidth="1"/>
    <col min="5" max="5" width="25.5703125" style="7" bestFit="1" customWidth="1"/>
    <col min="6" max="6" width="28.5703125" style="7" customWidth="1"/>
    <col min="7" max="7" width="25.140625" style="7" customWidth="1"/>
    <col min="8" max="8" width="18" style="7" bestFit="1" customWidth="1"/>
    <col min="9" max="9" width="12.42578125" style="7" customWidth="1"/>
    <col min="10" max="10" width="9.140625" style="7" customWidth="1"/>
    <col min="11" max="11" width="15.28515625" style="7" customWidth="1"/>
    <col min="12" max="12" width="12.140625" style="7" bestFit="1" customWidth="1"/>
    <col min="13" max="13" width="77.7109375" style="7" customWidth="1"/>
    <col min="14" max="14" width="12.42578125" style="7" customWidth="1"/>
    <col min="15" max="15" width="14.85546875" style="7" customWidth="1"/>
    <col min="16" max="16" width="11.5703125" style="7" customWidth="1"/>
    <col min="17" max="17" width="12.85546875" style="40" customWidth="1"/>
    <col min="18" max="18" width="12.42578125" style="7" customWidth="1"/>
    <col min="19" max="19" width="14.85546875" style="7" customWidth="1"/>
    <col min="20" max="20" width="11.5703125" style="7" customWidth="1"/>
    <col min="21" max="21" width="12.85546875" style="40" customWidth="1"/>
    <col min="22" max="22" width="13" style="35" bestFit="1" customWidth="1"/>
    <col min="23" max="23" width="15.28515625" style="35" bestFit="1" customWidth="1"/>
    <col min="24" max="24" width="11.5703125" style="35" bestFit="1" customWidth="1"/>
    <col min="25" max="25" width="12.85546875" style="40" bestFit="1" customWidth="1"/>
    <col min="26" max="26" width="13" style="35" bestFit="1" customWidth="1"/>
    <col min="27" max="27" width="15.28515625" style="35" bestFit="1" customWidth="1"/>
    <col min="28" max="28" width="11.5703125" style="35" bestFit="1" customWidth="1"/>
    <col min="29" max="29" width="12.85546875" style="40" bestFit="1" customWidth="1"/>
    <col min="30" max="30" width="13" style="35" bestFit="1" customWidth="1"/>
    <col min="31" max="31" width="15.28515625" style="35" bestFit="1" customWidth="1"/>
    <col min="32" max="32" width="11.5703125" style="35" bestFit="1" customWidth="1"/>
    <col min="33" max="33" width="12.85546875" style="40" bestFit="1" customWidth="1"/>
    <col min="34" max="34" width="13" style="35" bestFit="1" customWidth="1"/>
    <col min="35" max="35" width="15.28515625" style="35" bestFit="1" customWidth="1"/>
    <col min="36" max="36" width="11.5703125" style="35" bestFit="1" customWidth="1"/>
    <col min="37" max="37" width="12.85546875" style="40" bestFit="1" customWidth="1"/>
    <col min="38" max="38" width="13" style="35" bestFit="1" customWidth="1"/>
    <col min="39" max="39" width="15.28515625" style="35" bestFit="1" customWidth="1"/>
    <col min="40" max="40" width="11.5703125" style="35" bestFit="1" customWidth="1"/>
    <col min="41" max="41" width="12.85546875" style="40" bestFit="1" customWidth="1"/>
    <col min="42" max="42" width="13" style="35" bestFit="1" customWidth="1"/>
    <col min="43" max="43" width="15.28515625" style="35" bestFit="1" customWidth="1"/>
    <col min="44" max="44" width="11.5703125" style="35" bestFit="1" customWidth="1"/>
    <col min="45" max="45" width="12.85546875" style="40" bestFit="1" customWidth="1"/>
    <col min="46" max="46" width="13" style="35" bestFit="1" customWidth="1"/>
    <col min="47" max="47" width="15.28515625" style="35" bestFit="1" customWidth="1"/>
    <col min="48" max="48" width="11.5703125" style="35" bestFit="1" customWidth="1"/>
    <col min="49" max="49" width="12.85546875" style="40" bestFit="1" customWidth="1"/>
    <col min="50" max="50" width="13" style="35" bestFit="1" customWidth="1"/>
    <col min="51" max="51" width="15.28515625" style="35" bestFit="1" customWidth="1"/>
    <col min="52" max="52" width="11.5703125" style="35" bestFit="1" customWidth="1"/>
    <col min="53" max="53" width="12.85546875" style="40" bestFit="1" customWidth="1"/>
    <col min="54" max="54" width="13" style="35" bestFit="1" customWidth="1"/>
    <col min="55" max="55" width="15.28515625" style="35" bestFit="1" customWidth="1"/>
    <col min="56" max="56" width="11.5703125" style="35" bestFit="1" customWidth="1"/>
    <col min="57" max="57" width="12.85546875" style="40" bestFit="1" customWidth="1"/>
    <col min="58" max="58" width="13" style="35" bestFit="1" customWidth="1"/>
    <col min="59" max="59" width="15.28515625" style="58" bestFit="1" customWidth="1"/>
    <col min="60" max="60" width="11.5703125" style="35" bestFit="1" customWidth="1"/>
    <col min="61" max="61" width="12.85546875" style="40" bestFit="1" customWidth="1"/>
    <col min="62" max="62" width="17.85546875" style="35" bestFit="1" customWidth="1"/>
    <col min="63" max="63" width="20.42578125" style="35" bestFit="1" customWidth="1"/>
    <col min="64" max="64" width="16.5703125" style="35" bestFit="1" customWidth="1"/>
    <col min="65" max="65" width="12.85546875" style="40" bestFit="1" customWidth="1"/>
    <col min="66" max="66" width="19.28515625" style="35" bestFit="1" customWidth="1"/>
    <col min="67" max="67" width="14.140625" style="35" bestFit="1" customWidth="1"/>
    <col min="68" max="16384" width="22.28515625" style="7"/>
  </cols>
  <sheetData>
    <row r="1" spans="1:68" ht="18.75" x14ac:dyDescent="0.25">
      <c r="A1" s="69" t="s">
        <v>89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70"/>
      <c r="O1" s="70"/>
      <c r="P1" s="70"/>
      <c r="Q1" s="71"/>
      <c r="R1" s="70"/>
      <c r="S1" s="70"/>
      <c r="T1" s="70"/>
      <c r="U1" s="71"/>
      <c r="V1" s="69"/>
      <c r="W1" s="69"/>
      <c r="X1" s="69"/>
      <c r="Y1" s="72"/>
      <c r="Z1" s="69"/>
      <c r="AA1" s="69"/>
      <c r="AB1" s="69"/>
      <c r="AC1" s="72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</row>
    <row r="2" spans="1:68" x14ac:dyDescent="0.25">
      <c r="A2" s="24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73" t="s">
        <v>5</v>
      </c>
      <c r="O2" s="73"/>
      <c r="P2" s="73"/>
      <c r="Q2" s="74"/>
      <c r="R2" s="75" t="s">
        <v>6</v>
      </c>
      <c r="S2" s="75"/>
      <c r="T2" s="75"/>
      <c r="U2" s="76"/>
      <c r="V2" s="77" t="s">
        <v>7</v>
      </c>
      <c r="W2" s="77"/>
      <c r="X2" s="77"/>
      <c r="Y2" s="78"/>
      <c r="Z2" s="77" t="s">
        <v>8</v>
      </c>
      <c r="AA2" s="77"/>
      <c r="AB2" s="77"/>
      <c r="AC2" s="78"/>
      <c r="AD2" s="77" t="s">
        <v>9</v>
      </c>
      <c r="AE2" s="77"/>
      <c r="AF2" s="77"/>
      <c r="AG2" s="77"/>
      <c r="AH2" s="77" t="s">
        <v>10</v>
      </c>
      <c r="AI2" s="77"/>
      <c r="AJ2" s="77"/>
      <c r="AK2" s="77"/>
      <c r="AL2" s="77" t="s">
        <v>11</v>
      </c>
      <c r="AM2" s="77"/>
      <c r="AN2" s="77"/>
      <c r="AO2" s="77"/>
      <c r="AP2" s="77" t="s">
        <v>12</v>
      </c>
      <c r="AQ2" s="77"/>
      <c r="AR2" s="77"/>
      <c r="AS2" s="77"/>
      <c r="AT2" s="77" t="s">
        <v>13</v>
      </c>
      <c r="AU2" s="77"/>
      <c r="AV2" s="77"/>
      <c r="AW2" s="77"/>
      <c r="AX2" s="77" t="s">
        <v>14</v>
      </c>
      <c r="AY2" s="77"/>
      <c r="AZ2" s="77"/>
      <c r="BA2" s="77"/>
      <c r="BB2" s="77" t="s">
        <v>15</v>
      </c>
      <c r="BC2" s="77"/>
      <c r="BD2" s="77"/>
      <c r="BE2" s="77"/>
      <c r="BF2" s="77" t="s">
        <v>16</v>
      </c>
      <c r="BG2" s="77"/>
      <c r="BH2" s="77"/>
      <c r="BI2" s="79"/>
      <c r="BJ2" s="80" t="s">
        <v>21</v>
      </c>
      <c r="BK2" s="80"/>
      <c r="BL2" s="80"/>
      <c r="BM2" s="80"/>
      <c r="BN2" s="81"/>
      <c r="BO2" s="81"/>
    </row>
    <row r="3" spans="1:68" ht="22.5" x14ac:dyDescent="0.25">
      <c r="A3" s="9" t="s">
        <v>22</v>
      </c>
      <c r="B3" s="9" t="s">
        <v>0</v>
      </c>
      <c r="C3" s="9" t="s">
        <v>259</v>
      </c>
      <c r="D3" s="9" t="s">
        <v>23</v>
      </c>
      <c r="E3" s="9" t="s">
        <v>17</v>
      </c>
      <c r="F3" s="9" t="s">
        <v>24</v>
      </c>
      <c r="G3" s="9" t="s">
        <v>25</v>
      </c>
      <c r="H3" s="9" t="s">
        <v>26</v>
      </c>
      <c r="I3" s="9" t="s">
        <v>27</v>
      </c>
      <c r="J3" s="9" t="s">
        <v>28</v>
      </c>
      <c r="K3" s="9" t="s">
        <v>29</v>
      </c>
      <c r="L3" s="9" t="s">
        <v>30</v>
      </c>
      <c r="M3" s="9" t="s">
        <v>31</v>
      </c>
      <c r="N3" s="10" t="s">
        <v>32</v>
      </c>
      <c r="O3" s="11" t="s">
        <v>33</v>
      </c>
      <c r="P3" s="12" t="s">
        <v>34</v>
      </c>
      <c r="Q3" s="37" t="s">
        <v>35</v>
      </c>
      <c r="R3" s="10" t="s">
        <v>36</v>
      </c>
      <c r="S3" s="11" t="s">
        <v>37</v>
      </c>
      <c r="T3" s="12" t="s">
        <v>38</v>
      </c>
      <c r="U3" s="37" t="s">
        <v>39</v>
      </c>
      <c r="V3" s="31" t="s">
        <v>40</v>
      </c>
      <c r="W3" s="32" t="s">
        <v>41</v>
      </c>
      <c r="X3" s="33" t="s">
        <v>42</v>
      </c>
      <c r="Y3" s="37" t="s">
        <v>43</v>
      </c>
      <c r="Z3" s="31" t="s">
        <v>44</v>
      </c>
      <c r="AA3" s="32" t="s">
        <v>45</v>
      </c>
      <c r="AB3" s="33" t="s">
        <v>46</v>
      </c>
      <c r="AC3" s="37" t="s">
        <v>47</v>
      </c>
      <c r="AD3" s="31" t="s">
        <v>48</v>
      </c>
      <c r="AE3" s="32" t="s">
        <v>49</v>
      </c>
      <c r="AF3" s="33" t="s">
        <v>50</v>
      </c>
      <c r="AG3" s="37" t="s">
        <v>51</v>
      </c>
      <c r="AH3" s="31" t="s">
        <v>52</v>
      </c>
      <c r="AI3" s="32" t="s">
        <v>53</v>
      </c>
      <c r="AJ3" s="33" t="s">
        <v>54</v>
      </c>
      <c r="AK3" s="37" t="s">
        <v>55</v>
      </c>
      <c r="AL3" s="31" t="s">
        <v>56</v>
      </c>
      <c r="AM3" s="32" t="s">
        <v>57</v>
      </c>
      <c r="AN3" s="33" t="s">
        <v>58</v>
      </c>
      <c r="AO3" s="37" t="s">
        <v>59</v>
      </c>
      <c r="AP3" s="31" t="s">
        <v>60</v>
      </c>
      <c r="AQ3" s="32" t="s">
        <v>61</v>
      </c>
      <c r="AR3" s="33" t="s">
        <v>62</v>
      </c>
      <c r="AS3" s="37" t="s">
        <v>63</v>
      </c>
      <c r="AT3" s="31" t="s">
        <v>64</v>
      </c>
      <c r="AU3" s="32" t="s">
        <v>65</v>
      </c>
      <c r="AV3" s="33" t="s">
        <v>66</v>
      </c>
      <c r="AW3" s="37" t="s">
        <v>67</v>
      </c>
      <c r="AX3" s="31" t="s">
        <v>68</v>
      </c>
      <c r="AY3" s="32" t="s">
        <v>69</v>
      </c>
      <c r="AZ3" s="33" t="s">
        <v>70</v>
      </c>
      <c r="BA3" s="37" t="s">
        <v>71</v>
      </c>
      <c r="BB3" s="31" t="s">
        <v>72</v>
      </c>
      <c r="BC3" s="32" t="s">
        <v>73</v>
      </c>
      <c r="BD3" s="33" t="s">
        <v>74</v>
      </c>
      <c r="BE3" s="37" t="s">
        <v>75</v>
      </c>
      <c r="BF3" s="31" t="s">
        <v>76</v>
      </c>
      <c r="BG3" s="32" t="s">
        <v>77</v>
      </c>
      <c r="BH3" s="33" t="s">
        <v>78</v>
      </c>
      <c r="BI3" s="44" t="s">
        <v>79</v>
      </c>
      <c r="BJ3" s="46" t="s">
        <v>80</v>
      </c>
      <c r="BK3" s="45" t="s">
        <v>81</v>
      </c>
      <c r="BL3" s="47" t="s">
        <v>82</v>
      </c>
      <c r="BM3" s="48" t="s">
        <v>83</v>
      </c>
      <c r="BN3" s="49" t="s">
        <v>84</v>
      </c>
      <c r="BO3" s="50" t="s">
        <v>85</v>
      </c>
      <c r="BP3" s="54" t="s">
        <v>263</v>
      </c>
    </row>
    <row r="4" spans="1:68" s="23" customFormat="1" ht="12" x14ac:dyDescent="0.2">
      <c r="A4" s="13">
        <v>2026</v>
      </c>
      <c r="B4" s="14" t="s">
        <v>92</v>
      </c>
      <c r="C4" s="14" t="s">
        <v>139</v>
      </c>
      <c r="D4" s="14" t="s">
        <v>93</v>
      </c>
      <c r="E4" s="14" t="s">
        <v>2</v>
      </c>
      <c r="F4" s="14" t="s">
        <v>177</v>
      </c>
      <c r="G4" s="14"/>
      <c r="H4" s="14" t="s">
        <v>94</v>
      </c>
      <c r="I4" s="14"/>
      <c r="J4" s="14" t="s">
        <v>86</v>
      </c>
      <c r="K4" s="14" t="s">
        <v>96</v>
      </c>
      <c r="L4" s="23" t="s">
        <v>90</v>
      </c>
      <c r="M4" s="14" t="s">
        <v>246</v>
      </c>
      <c r="N4" s="27">
        <v>2415</v>
      </c>
      <c r="O4" s="27">
        <v>3405</v>
      </c>
      <c r="P4" s="29">
        <f>Tabela4[[#This Row],[Realizado
Jan]]-Tabela4[[#This Row],[Orçado
Jan]]</f>
        <v>990</v>
      </c>
      <c r="Q4" s="38">
        <f t="shared" ref="Q4:Q35" si="0">IFERROR((O4-N4)/N4,"-")</f>
        <v>0.40993788819875776</v>
      </c>
      <c r="R4" s="27">
        <v>2415</v>
      </c>
      <c r="S4" s="27">
        <v>3405</v>
      </c>
      <c r="T4" s="29">
        <f>Tabela4[[#This Row],[Realizado
Fev]]-Tabela4[[#This Row],[Orçado
Fev]]</f>
        <v>990</v>
      </c>
      <c r="U4" s="38">
        <f t="shared" ref="U4:U35" si="1">IFERROR((S4-R4)/R4,"-")</f>
        <v>0.40993788819875776</v>
      </c>
      <c r="V4" s="27">
        <v>2521</v>
      </c>
      <c r="W4" s="27">
        <v>3300</v>
      </c>
      <c r="X4" s="29">
        <f>Tabela4[[#This Row],[Realizado
Mar]]-Tabela4[[#This Row],[Orçado
Mar]]</f>
        <v>779</v>
      </c>
      <c r="Y4" s="38">
        <f t="shared" ref="Y4:Y35" si="2">IFERROR((W4-V4)/V4,"-")</f>
        <v>0.30900436334787784</v>
      </c>
      <c r="Z4" s="27">
        <v>2521</v>
      </c>
      <c r="AA4" s="27">
        <v>0</v>
      </c>
      <c r="AB4" s="29">
        <f>Tabela4[[#This Row],[Realizado
Abr]]-Tabela4[[#This Row],[Orçado
Abr]]</f>
        <v>-2521</v>
      </c>
      <c r="AC4" s="38">
        <f t="shared" ref="AC4:AC35" si="3">IFERROR((AA4-Z4)/Z4,"-")</f>
        <v>-1</v>
      </c>
      <c r="AD4" s="27">
        <v>2740</v>
      </c>
      <c r="AE4" s="27">
        <v>0</v>
      </c>
      <c r="AF4" s="29">
        <f>Tabela4[[#This Row],[Realizado
Mai]]-Tabela4[[#This Row],[Orçado
Mai]]</f>
        <v>-2740</v>
      </c>
      <c r="AG4" s="38">
        <f t="shared" ref="AG4:AG35" si="4">IFERROR((AE4-AD4)/AD4,"-")</f>
        <v>-1</v>
      </c>
      <c r="AH4" s="27">
        <v>2740</v>
      </c>
      <c r="AI4" s="27">
        <v>0</v>
      </c>
      <c r="AJ4" s="29">
        <f>Tabela4[[#This Row],[Realizado
Jun]]-Tabela4[[#This Row],[Orçado
Jun]]</f>
        <v>-2740</v>
      </c>
      <c r="AK4" s="38">
        <f t="shared" ref="AK4:AK35" si="5">IFERROR((AI4-AH4)/AH4,"-")</f>
        <v>-1</v>
      </c>
      <c r="AL4" s="27">
        <v>2740</v>
      </c>
      <c r="AM4" s="27">
        <v>0</v>
      </c>
      <c r="AN4" s="29">
        <f>Tabela4[[#This Row],[Realizado
Jul]]-Tabela4[[#This Row],[Orçado
Jul]]</f>
        <v>-2740</v>
      </c>
      <c r="AO4" s="38">
        <f t="shared" ref="AO4:AO35" si="6">IFERROR((AM4-AL4)/AL4,"-")</f>
        <v>-1</v>
      </c>
      <c r="AP4" s="27">
        <v>2740</v>
      </c>
      <c r="AQ4" s="27">
        <v>0</v>
      </c>
      <c r="AR4" s="29">
        <f>Tabela4[[#This Row],[Realizado
Ago]]-Tabela4[[#This Row],[Orçado
Ago]]</f>
        <v>-2740</v>
      </c>
      <c r="AS4" s="38">
        <f t="shared" ref="AS4:AS35" si="7">IFERROR((AQ4-AP4)/AP4,"-")</f>
        <v>-1</v>
      </c>
      <c r="AT4" s="27">
        <v>2740</v>
      </c>
      <c r="AU4" s="27">
        <v>0</v>
      </c>
      <c r="AV4" s="29">
        <f>Tabela4[[#This Row],[Realizado
Set]]-Tabela4[[#This Row],[Orçado
Set]]</f>
        <v>-2740</v>
      </c>
      <c r="AW4" s="38">
        <f t="shared" ref="AW4:AW35" si="8">IFERROR((AU4-AT4)/AT4,"-")</f>
        <v>-1</v>
      </c>
      <c r="AX4" s="27">
        <v>2740</v>
      </c>
      <c r="AY4" s="27">
        <v>0</v>
      </c>
      <c r="AZ4" s="29">
        <f>Tabela4[[#This Row],[Realizado
Out]]-Tabela4[[#This Row],[Orçado
Out]]</f>
        <v>-2740</v>
      </c>
      <c r="BA4" s="38">
        <f t="shared" ref="BA4:BA35" si="9">IFERROR((AY4-AX4)/AX4,"-")</f>
        <v>-1</v>
      </c>
      <c r="BB4" s="27">
        <v>2740</v>
      </c>
      <c r="BC4" s="27">
        <v>0</v>
      </c>
      <c r="BD4" s="29">
        <f>Tabela4[[#This Row],[Realizado
Nov]]-Tabela4[[#This Row],[Orçado
Nov]]</f>
        <v>-2740</v>
      </c>
      <c r="BE4" s="38">
        <f t="shared" ref="BE4:BE35" si="10">IFERROR((BC4-BB4)/BB4,"-")</f>
        <v>-1</v>
      </c>
      <c r="BF4" s="27">
        <v>2740</v>
      </c>
      <c r="BG4" s="56">
        <v>0</v>
      </c>
      <c r="BH4" s="29">
        <f>Tabela4[[#This Row],[Realizado
Dez]]-Tabela4[[#This Row],[Orçado
Dez]]</f>
        <v>-2740</v>
      </c>
      <c r="BI4" s="42">
        <f t="shared" ref="BI4:BI35" si="11">IFERROR((BG4-BF4)/BF4,"-")</f>
        <v>-1</v>
      </c>
      <c r="BJ4" s="29">
        <f t="shared" ref="BJ4:BJ35" si="12">SUM(BF4,BB4,AX4,AT4,AP4,AL4,AH4,AD4,Z4,V4,R4,N4)</f>
        <v>31792</v>
      </c>
      <c r="BK4" s="29">
        <f t="shared" ref="BK4:BK35" si="13">SUM(BG4,BC4,AY4,AU4,AQ4,AM4,AI4,AE4,AA4,W4,S4,O4)</f>
        <v>10110</v>
      </c>
      <c r="BL4" s="34">
        <f t="shared" ref="BL4:BL35" si="14">SUM(BH4,BD4,AZ4,AV4,AR4,AN4,AJ4,AF4,AB4,X4,X4,T4,P4)</f>
        <v>-20903</v>
      </c>
      <c r="BM4" s="42">
        <f t="shared" ref="BM4:BM35" si="15">IFERROR((BK4-BJ4)/BJ4,"-")</f>
        <v>-0.68199547055863108</v>
      </c>
      <c r="BN4" s="36">
        <f>Tabela4[[#This Row],[Total Orçado
Ano]]-Tabela4[[#This Row],[Total Realizado
Ano]]</f>
        <v>21682</v>
      </c>
      <c r="BO4" s="36">
        <f>Tabela4[[#This Row],[Total Orçado
Ano]]-Tabela4[[#This Row],[Total Realizado
Ano]]</f>
        <v>21682</v>
      </c>
      <c r="BP4" s="23" t="s">
        <v>262</v>
      </c>
    </row>
    <row r="5" spans="1:68" s="23" customFormat="1" ht="12" x14ac:dyDescent="0.2">
      <c r="A5" s="13">
        <v>2026</v>
      </c>
      <c r="B5" s="14" t="s">
        <v>92</v>
      </c>
      <c r="C5" s="14" t="s">
        <v>139</v>
      </c>
      <c r="D5" s="14" t="s">
        <v>93</v>
      </c>
      <c r="E5" s="14" t="s">
        <v>2</v>
      </c>
      <c r="F5" s="14" t="s">
        <v>178</v>
      </c>
      <c r="G5" s="14"/>
      <c r="H5" s="14" t="s">
        <v>94</v>
      </c>
      <c r="I5" s="14"/>
      <c r="J5" s="14" t="s">
        <v>86</v>
      </c>
      <c r="K5" s="14" t="s">
        <v>96</v>
      </c>
      <c r="L5" s="23" t="s">
        <v>90</v>
      </c>
      <c r="M5" s="14"/>
      <c r="N5" s="27">
        <v>169</v>
      </c>
      <c r="O5" s="27">
        <v>169</v>
      </c>
      <c r="P5" s="29">
        <f>Tabela4[[#This Row],[Realizado
Jan]]-Tabela4[[#This Row],[Orçado
Jan]]</f>
        <v>0</v>
      </c>
      <c r="Q5" s="38">
        <f t="shared" si="0"/>
        <v>0</v>
      </c>
      <c r="R5" s="27">
        <v>169</v>
      </c>
      <c r="S5" s="27">
        <v>169</v>
      </c>
      <c r="T5" s="29">
        <f>Tabela4[[#This Row],[Realizado
Fev]]-Tabela4[[#This Row],[Orçado
Fev]]</f>
        <v>0</v>
      </c>
      <c r="U5" s="38">
        <f t="shared" si="1"/>
        <v>0</v>
      </c>
      <c r="V5" s="27">
        <v>176</v>
      </c>
      <c r="W5" s="27">
        <v>169</v>
      </c>
      <c r="X5" s="29">
        <f>Tabela4[[#This Row],[Realizado
Mar]]-Tabela4[[#This Row],[Orçado
Mar]]</f>
        <v>-7</v>
      </c>
      <c r="Y5" s="38">
        <f t="shared" si="2"/>
        <v>-3.9772727272727272E-2</v>
      </c>
      <c r="Z5" s="27">
        <v>176</v>
      </c>
      <c r="AA5" s="27">
        <v>0</v>
      </c>
      <c r="AB5" s="29">
        <f>Tabela4[[#This Row],[Realizado
Abr]]-Tabela4[[#This Row],[Orçado
Abr]]</f>
        <v>-176</v>
      </c>
      <c r="AC5" s="38">
        <f t="shared" si="3"/>
        <v>-1</v>
      </c>
      <c r="AD5" s="27">
        <v>353</v>
      </c>
      <c r="AE5" s="27">
        <v>0</v>
      </c>
      <c r="AF5" s="29">
        <f>Tabela4[[#This Row],[Realizado
Mai]]-Tabela4[[#This Row],[Orçado
Mai]]</f>
        <v>-353</v>
      </c>
      <c r="AG5" s="38">
        <f t="shared" si="4"/>
        <v>-1</v>
      </c>
      <c r="AH5" s="27">
        <v>353</v>
      </c>
      <c r="AI5" s="27">
        <v>0</v>
      </c>
      <c r="AJ5" s="29">
        <f>Tabela4[[#This Row],[Realizado
Jun]]-Tabela4[[#This Row],[Orçado
Jun]]</f>
        <v>-353</v>
      </c>
      <c r="AK5" s="38">
        <f t="shared" si="5"/>
        <v>-1</v>
      </c>
      <c r="AL5" s="27">
        <v>353</v>
      </c>
      <c r="AM5" s="27">
        <v>0</v>
      </c>
      <c r="AN5" s="29">
        <f>Tabela4[[#This Row],[Realizado
Jul]]-Tabela4[[#This Row],[Orçado
Jul]]</f>
        <v>-353</v>
      </c>
      <c r="AO5" s="38">
        <f t="shared" si="6"/>
        <v>-1</v>
      </c>
      <c r="AP5" s="27">
        <v>353</v>
      </c>
      <c r="AQ5" s="27">
        <v>0</v>
      </c>
      <c r="AR5" s="29">
        <f>Tabela4[[#This Row],[Realizado
Ago]]-Tabela4[[#This Row],[Orçado
Ago]]</f>
        <v>-353</v>
      </c>
      <c r="AS5" s="38">
        <f t="shared" si="7"/>
        <v>-1</v>
      </c>
      <c r="AT5" s="27">
        <v>353</v>
      </c>
      <c r="AU5" s="27">
        <v>0</v>
      </c>
      <c r="AV5" s="29">
        <f>Tabela4[[#This Row],[Realizado
Set]]-Tabela4[[#This Row],[Orçado
Set]]</f>
        <v>-353</v>
      </c>
      <c r="AW5" s="38">
        <f t="shared" si="8"/>
        <v>-1</v>
      </c>
      <c r="AX5" s="27">
        <v>353</v>
      </c>
      <c r="AY5" s="27">
        <v>0</v>
      </c>
      <c r="AZ5" s="29">
        <f>Tabela4[[#This Row],[Realizado
Out]]-Tabela4[[#This Row],[Orçado
Out]]</f>
        <v>-353</v>
      </c>
      <c r="BA5" s="38">
        <f t="shared" si="9"/>
        <v>-1</v>
      </c>
      <c r="BB5" s="27">
        <v>353</v>
      </c>
      <c r="BC5" s="27">
        <v>0</v>
      </c>
      <c r="BD5" s="29">
        <f>Tabela4[[#This Row],[Realizado
Nov]]-Tabela4[[#This Row],[Orçado
Nov]]</f>
        <v>-353</v>
      </c>
      <c r="BE5" s="38">
        <f t="shared" si="10"/>
        <v>-1</v>
      </c>
      <c r="BF5" s="27">
        <v>353</v>
      </c>
      <c r="BG5" s="56">
        <v>0</v>
      </c>
      <c r="BH5" s="29">
        <f>Tabela4[[#This Row],[Realizado
Dez]]-Tabela4[[#This Row],[Orçado
Dez]]</f>
        <v>-353</v>
      </c>
      <c r="BI5" s="38">
        <f t="shared" si="11"/>
        <v>-1</v>
      </c>
      <c r="BJ5" s="29">
        <f t="shared" si="12"/>
        <v>3514</v>
      </c>
      <c r="BK5" s="29">
        <f t="shared" si="13"/>
        <v>507</v>
      </c>
      <c r="BL5" s="34">
        <f t="shared" si="14"/>
        <v>-3014</v>
      </c>
      <c r="BM5" s="42">
        <f t="shared" si="15"/>
        <v>-0.85571997723392146</v>
      </c>
      <c r="BN5" s="27">
        <f>Tabela4[[#This Row],[Total Orçado
Ano]]-Tabela4[[#This Row],[Total Realizado
Ano]]</f>
        <v>3007</v>
      </c>
      <c r="BO5" s="36">
        <f>Tabela4[[#This Row],[Total Orçado
Ano]]-Tabela4[[#This Row],[Total Realizado
Ano]]</f>
        <v>3007</v>
      </c>
      <c r="BP5" s="23" t="s">
        <v>262</v>
      </c>
    </row>
    <row r="6" spans="1:68" s="23" customFormat="1" ht="12" x14ac:dyDescent="0.2">
      <c r="A6" s="25">
        <v>2026</v>
      </c>
      <c r="B6" s="14" t="s">
        <v>92</v>
      </c>
      <c r="C6" s="14" t="s">
        <v>139</v>
      </c>
      <c r="D6" s="23" t="s">
        <v>93</v>
      </c>
      <c r="E6" s="23" t="s">
        <v>2</v>
      </c>
      <c r="F6" s="23" t="s">
        <v>240</v>
      </c>
      <c r="H6" s="23" t="s">
        <v>94</v>
      </c>
      <c r="J6" s="23" t="s">
        <v>86</v>
      </c>
      <c r="K6" s="23" t="s">
        <v>96</v>
      </c>
      <c r="L6" s="23" t="s">
        <v>90</v>
      </c>
      <c r="N6" s="28">
        <v>124</v>
      </c>
      <c r="O6" s="28">
        <v>0</v>
      </c>
      <c r="P6" s="30">
        <f>Tabela4[[#This Row],[Realizado
Jan]]-Tabela4[[#This Row],[Orçado
Jan]]</f>
        <v>-124</v>
      </c>
      <c r="Q6" s="39">
        <f t="shared" si="0"/>
        <v>-1</v>
      </c>
      <c r="R6" s="28">
        <v>124</v>
      </c>
      <c r="S6" s="28">
        <v>0</v>
      </c>
      <c r="T6" s="30">
        <f>Tabela4[[#This Row],[Realizado
Fev]]-Tabela4[[#This Row],[Orçado
Fev]]</f>
        <v>-124</v>
      </c>
      <c r="U6" s="39">
        <f t="shared" si="1"/>
        <v>-1</v>
      </c>
      <c r="V6" s="28">
        <v>129</v>
      </c>
      <c r="W6" s="28">
        <v>480</v>
      </c>
      <c r="X6" s="30">
        <f>Tabela4[[#This Row],[Realizado
Mar]]-Tabela4[[#This Row],[Orçado
Mar]]</f>
        <v>351</v>
      </c>
      <c r="Y6" s="39">
        <f t="shared" si="2"/>
        <v>2.7209302325581395</v>
      </c>
      <c r="Z6" s="28">
        <v>0</v>
      </c>
      <c r="AA6" s="28">
        <v>0</v>
      </c>
      <c r="AB6" s="30">
        <f>Tabela4[[#This Row],[Realizado
Abr]]-Tabela4[[#This Row],[Orçado
Abr]]</f>
        <v>0</v>
      </c>
      <c r="AC6" s="39" t="str">
        <f t="shared" si="3"/>
        <v>-</v>
      </c>
      <c r="AD6" s="28">
        <v>259</v>
      </c>
      <c r="AE6" s="28">
        <v>0</v>
      </c>
      <c r="AF6" s="30">
        <f>Tabela4[[#This Row],[Realizado
Mai]]-Tabela4[[#This Row],[Orçado
Mai]]</f>
        <v>-259</v>
      </c>
      <c r="AG6" s="38">
        <f t="shared" si="4"/>
        <v>-1</v>
      </c>
      <c r="AH6" s="28">
        <v>259</v>
      </c>
      <c r="AI6" s="28">
        <v>0</v>
      </c>
      <c r="AJ6" s="30">
        <f>Tabela4[[#This Row],[Realizado
Jun]]-Tabela4[[#This Row],[Orçado
Jun]]</f>
        <v>-259</v>
      </c>
      <c r="AK6" s="38">
        <f t="shared" si="5"/>
        <v>-1</v>
      </c>
      <c r="AL6" s="28">
        <v>259</v>
      </c>
      <c r="AM6" s="28">
        <v>0</v>
      </c>
      <c r="AN6" s="30">
        <f>Tabela4[[#This Row],[Realizado
Jul]]-Tabela4[[#This Row],[Orçado
Jul]]</f>
        <v>-259</v>
      </c>
      <c r="AO6" s="38">
        <f t="shared" si="6"/>
        <v>-1</v>
      </c>
      <c r="AP6" s="28">
        <v>259</v>
      </c>
      <c r="AQ6" s="28">
        <v>0</v>
      </c>
      <c r="AR6" s="29">
        <f>Tabela4[[#This Row],[Realizado
Ago]]-Tabela4[[#This Row],[Orçado
Ago]]</f>
        <v>-259</v>
      </c>
      <c r="AS6" s="38">
        <f t="shared" si="7"/>
        <v>-1</v>
      </c>
      <c r="AT6" s="28">
        <v>259</v>
      </c>
      <c r="AU6" s="28">
        <v>0</v>
      </c>
      <c r="AV6" s="29">
        <f>Tabela4[[#This Row],[Realizado
Set]]-Tabela4[[#This Row],[Orçado
Set]]</f>
        <v>-259</v>
      </c>
      <c r="AW6" s="38">
        <f t="shared" si="8"/>
        <v>-1</v>
      </c>
      <c r="AX6" s="28">
        <v>259</v>
      </c>
      <c r="AY6" s="28">
        <v>0</v>
      </c>
      <c r="AZ6" s="29">
        <f>Tabela4[[#This Row],[Realizado
Out]]-Tabela4[[#This Row],[Orçado
Out]]</f>
        <v>-259</v>
      </c>
      <c r="BA6" s="38">
        <f t="shared" si="9"/>
        <v>-1</v>
      </c>
      <c r="BB6" s="28">
        <v>259</v>
      </c>
      <c r="BC6" s="28">
        <v>0</v>
      </c>
      <c r="BD6" s="29">
        <f>Tabela4[[#This Row],[Realizado
Nov]]-Tabela4[[#This Row],[Orçado
Nov]]</f>
        <v>-259</v>
      </c>
      <c r="BE6" s="38">
        <f t="shared" si="10"/>
        <v>-1</v>
      </c>
      <c r="BF6" s="28">
        <v>259</v>
      </c>
      <c r="BG6" s="57">
        <v>0</v>
      </c>
      <c r="BH6" s="29">
        <f>Tabela4[[#This Row],[Realizado
Dez]]-Tabela4[[#This Row],[Orçado
Dez]]</f>
        <v>-259</v>
      </c>
      <c r="BI6" s="38">
        <f t="shared" si="11"/>
        <v>-1</v>
      </c>
      <c r="BJ6" s="29">
        <f t="shared" si="12"/>
        <v>2449</v>
      </c>
      <c r="BK6" s="29">
        <f t="shared" si="13"/>
        <v>480</v>
      </c>
      <c r="BL6" s="34">
        <f t="shared" si="14"/>
        <v>-1618</v>
      </c>
      <c r="BM6" s="42">
        <f t="shared" si="15"/>
        <v>-0.8040016333197223</v>
      </c>
      <c r="BN6" s="36">
        <f>Tabela4[[#This Row],[Total Orçado
Ano]]-Tabela4[[#This Row],[Total Realizado
Ano]]</f>
        <v>1969</v>
      </c>
      <c r="BO6" s="36">
        <f>Tabela4[[#This Row],[Total Orçado
Ano]]-Tabela4[[#This Row],[Total Realizado
Ano]]</f>
        <v>1969</v>
      </c>
      <c r="BP6" s="23" t="s">
        <v>262</v>
      </c>
    </row>
    <row r="7" spans="1:68" s="23" customFormat="1" ht="12" x14ac:dyDescent="0.2">
      <c r="A7" s="25">
        <v>2026</v>
      </c>
      <c r="B7" s="14" t="s">
        <v>92</v>
      </c>
      <c r="C7" s="14" t="s">
        <v>139</v>
      </c>
      <c r="D7" s="23" t="s">
        <v>93</v>
      </c>
      <c r="E7" s="23" t="s">
        <v>2</v>
      </c>
      <c r="F7" s="23" t="s">
        <v>201</v>
      </c>
      <c r="H7" s="23" t="s">
        <v>94</v>
      </c>
      <c r="J7" s="23" t="s">
        <v>86</v>
      </c>
      <c r="K7" s="23" t="s">
        <v>96</v>
      </c>
      <c r="L7" s="23" t="s">
        <v>90</v>
      </c>
      <c r="N7" s="28">
        <v>507</v>
      </c>
      <c r="O7" s="28">
        <v>507</v>
      </c>
      <c r="P7" s="30">
        <f>Tabela4[[#This Row],[Realizado
Jan]]-Tabela4[[#This Row],[Orçado
Jan]]</f>
        <v>0</v>
      </c>
      <c r="Q7" s="39">
        <f t="shared" si="0"/>
        <v>0</v>
      </c>
      <c r="R7" s="28">
        <v>507</v>
      </c>
      <c r="S7" s="28">
        <v>507</v>
      </c>
      <c r="T7" s="30">
        <f>Tabela4[[#This Row],[Realizado
Fev]]-Tabela4[[#This Row],[Orçado
Fev]]</f>
        <v>0</v>
      </c>
      <c r="U7" s="39">
        <f t="shared" si="1"/>
        <v>0</v>
      </c>
      <c r="V7" s="28">
        <v>529</v>
      </c>
      <c r="W7" s="28">
        <v>507</v>
      </c>
      <c r="X7" s="30">
        <f>Tabela4[[#This Row],[Realizado
Mar]]-Tabela4[[#This Row],[Orçado
Mar]]</f>
        <v>-22</v>
      </c>
      <c r="Y7" s="39">
        <f t="shared" si="2"/>
        <v>-4.1587901701323253E-2</v>
      </c>
      <c r="Z7" s="28">
        <v>0</v>
      </c>
      <c r="AA7" s="28">
        <v>0</v>
      </c>
      <c r="AB7" s="30">
        <f>Tabela4[[#This Row],[Realizado
Abr]]-Tabela4[[#This Row],[Orçado
Abr]]</f>
        <v>0</v>
      </c>
      <c r="AC7" s="39" t="str">
        <f t="shared" si="3"/>
        <v>-</v>
      </c>
      <c r="AD7" s="28">
        <v>706</v>
      </c>
      <c r="AE7" s="28">
        <v>0</v>
      </c>
      <c r="AF7" s="30">
        <f>Tabela4[[#This Row],[Realizado
Mai]]-Tabela4[[#This Row],[Orçado
Mai]]</f>
        <v>-706</v>
      </c>
      <c r="AG7" s="38">
        <f t="shared" si="4"/>
        <v>-1</v>
      </c>
      <c r="AH7" s="28">
        <v>706</v>
      </c>
      <c r="AI7" s="28">
        <v>0</v>
      </c>
      <c r="AJ7" s="30">
        <f>Tabela4[[#This Row],[Realizado
Jun]]-Tabela4[[#This Row],[Orçado
Jun]]</f>
        <v>-706</v>
      </c>
      <c r="AK7" s="38">
        <f t="shared" si="5"/>
        <v>-1</v>
      </c>
      <c r="AL7" s="28">
        <v>706</v>
      </c>
      <c r="AM7" s="28">
        <v>0</v>
      </c>
      <c r="AN7" s="30">
        <f>Tabela4[[#This Row],[Realizado
Jul]]-Tabela4[[#This Row],[Orçado
Jul]]</f>
        <v>-706</v>
      </c>
      <c r="AO7" s="38">
        <f t="shared" si="6"/>
        <v>-1</v>
      </c>
      <c r="AP7" s="28">
        <v>706</v>
      </c>
      <c r="AQ7" s="28">
        <v>0</v>
      </c>
      <c r="AR7" s="29">
        <f>Tabela4[[#This Row],[Realizado
Ago]]-Tabela4[[#This Row],[Orçado
Ago]]</f>
        <v>-706</v>
      </c>
      <c r="AS7" s="38">
        <f t="shared" si="7"/>
        <v>-1</v>
      </c>
      <c r="AT7" s="28">
        <v>706</v>
      </c>
      <c r="AU7" s="28">
        <v>0</v>
      </c>
      <c r="AV7" s="29">
        <f>Tabela4[[#This Row],[Realizado
Set]]-Tabela4[[#This Row],[Orçado
Set]]</f>
        <v>-706</v>
      </c>
      <c r="AW7" s="38">
        <f t="shared" si="8"/>
        <v>-1</v>
      </c>
      <c r="AX7" s="28">
        <v>706</v>
      </c>
      <c r="AY7" s="28">
        <v>0</v>
      </c>
      <c r="AZ7" s="29">
        <f>Tabela4[[#This Row],[Realizado
Out]]-Tabela4[[#This Row],[Orçado
Out]]</f>
        <v>-706</v>
      </c>
      <c r="BA7" s="38">
        <f t="shared" si="9"/>
        <v>-1</v>
      </c>
      <c r="BB7" s="28">
        <v>706</v>
      </c>
      <c r="BC7" s="28">
        <v>0</v>
      </c>
      <c r="BD7" s="29">
        <f>Tabela4[[#This Row],[Realizado
Nov]]-Tabela4[[#This Row],[Orçado
Nov]]</f>
        <v>-706</v>
      </c>
      <c r="BE7" s="38">
        <f t="shared" si="10"/>
        <v>-1</v>
      </c>
      <c r="BF7" s="28">
        <v>706</v>
      </c>
      <c r="BG7" s="57">
        <v>0</v>
      </c>
      <c r="BH7" s="29">
        <f>Tabela4[[#This Row],[Realizado
Dez]]-Tabela4[[#This Row],[Orçado
Dez]]</f>
        <v>-706</v>
      </c>
      <c r="BI7" s="38">
        <f t="shared" si="11"/>
        <v>-1</v>
      </c>
      <c r="BJ7" s="29">
        <f t="shared" si="12"/>
        <v>7191</v>
      </c>
      <c r="BK7" s="29">
        <f t="shared" si="13"/>
        <v>1521</v>
      </c>
      <c r="BL7" s="34">
        <f t="shared" si="14"/>
        <v>-5692</v>
      </c>
      <c r="BM7" s="42">
        <f t="shared" si="15"/>
        <v>-0.78848560700876091</v>
      </c>
      <c r="BN7" s="36">
        <f>Tabela4[[#This Row],[Total Orçado
Ano]]-Tabela4[[#This Row],[Total Realizado
Ano]]</f>
        <v>5670</v>
      </c>
      <c r="BO7" s="36">
        <f>Tabela4[[#This Row],[Total Orçado
Ano]]-Tabela4[[#This Row],[Total Realizado
Ano]]</f>
        <v>5670</v>
      </c>
      <c r="BP7" s="23" t="s">
        <v>262</v>
      </c>
    </row>
    <row r="8" spans="1:68" s="23" customFormat="1" ht="12" x14ac:dyDescent="0.2">
      <c r="A8" s="25">
        <v>2026</v>
      </c>
      <c r="B8" s="14" t="s">
        <v>92</v>
      </c>
      <c r="C8" s="14" t="s">
        <v>139</v>
      </c>
      <c r="D8" s="23" t="s">
        <v>93</v>
      </c>
      <c r="E8" s="23" t="s">
        <v>2</v>
      </c>
      <c r="F8" s="23" t="s">
        <v>202</v>
      </c>
      <c r="H8" s="23" t="s">
        <v>94</v>
      </c>
      <c r="J8" s="23" t="s">
        <v>86</v>
      </c>
      <c r="K8" s="23" t="s">
        <v>96</v>
      </c>
      <c r="L8" s="23" t="s">
        <v>90</v>
      </c>
      <c r="N8" s="28">
        <v>169</v>
      </c>
      <c r="O8" s="28">
        <v>169</v>
      </c>
      <c r="P8" s="30">
        <f>Tabela4[[#This Row],[Realizado
Jan]]-Tabela4[[#This Row],[Orçado
Jan]]</f>
        <v>0</v>
      </c>
      <c r="Q8" s="39">
        <f t="shared" si="0"/>
        <v>0</v>
      </c>
      <c r="R8" s="28">
        <v>169</v>
      </c>
      <c r="S8" s="28">
        <v>169</v>
      </c>
      <c r="T8" s="30">
        <f>Tabela4[[#This Row],[Realizado
Fev]]-Tabela4[[#This Row],[Orçado
Fev]]</f>
        <v>0</v>
      </c>
      <c r="U8" s="39">
        <f t="shared" si="1"/>
        <v>0</v>
      </c>
      <c r="V8" s="28">
        <v>176</v>
      </c>
      <c r="W8" s="28">
        <v>169</v>
      </c>
      <c r="X8" s="30">
        <f>Tabela4[[#This Row],[Realizado
Mar]]-Tabela4[[#This Row],[Orçado
Mar]]</f>
        <v>-7</v>
      </c>
      <c r="Y8" s="39">
        <f t="shared" si="2"/>
        <v>-3.9772727272727272E-2</v>
      </c>
      <c r="Z8" s="28">
        <v>0</v>
      </c>
      <c r="AA8" s="28">
        <v>0</v>
      </c>
      <c r="AB8" s="30">
        <f>Tabela4[[#This Row],[Realizado
Abr]]-Tabela4[[#This Row],[Orçado
Abr]]</f>
        <v>0</v>
      </c>
      <c r="AC8" s="39" t="str">
        <f t="shared" si="3"/>
        <v>-</v>
      </c>
      <c r="AD8" s="28">
        <v>353</v>
      </c>
      <c r="AE8" s="28">
        <v>0</v>
      </c>
      <c r="AF8" s="30">
        <f>Tabela4[[#This Row],[Realizado
Mai]]-Tabela4[[#This Row],[Orçado
Mai]]</f>
        <v>-353</v>
      </c>
      <c r="AG8" s="38">
        <f t="shared" si="4"/>
        <v>-1</v>
      </c>
      <c r="AH8" s="28">
        <v>353</v>
      </c>
      <c r="AI8" s="28">
        <v>0</v>
      </c>
      <c r="AJ8" s="30">
        <f>Tabela4[[#This Row],[Realizado
Jun]]-Tabela4[[#This Row],[Orçado
Jun]]</f>
        <v>-353</v>
      </c>
      <c r="AK8" s="38">
        <f t="shared" si="5"/>
        <v>-1</v>
      </c>
      <c r="AL8" s="28">
        <v>353</v>
      </c>
      <c r="AM8" s="28">
        <v>0</v>
      </c>
      <c r="AN8" s="30">
        <f>Tabela4[[#This Row],[Realizado
Jul]]-Tabela4[[#This Row],[Orçado
Jul]]</f>
        <v>-353</v>
      </c>
      <c r="AO8" s="38">
        <f t="shared" si="6"/>
        <v>-1</v>
      </c>
      <c r="AP8" s="28">
        <v>353</v>
      </c>
      <c r="AQ8" s="28">
        <v>0</v>
      </c>
      <c r="AR8" s="29">
        <f>Tabela4[[#This Row],[Realizado
Ago]]-Tabela4[[#This Row],[Orçado
Ago]]</f>
        <v>-353</v>
      </c>
      <c r="AS8" s="38">
        <f t="shared" si="7"/>
        <v>-1</v>
      </c>
      <c r="AT8" s="28">
        <v>353</v>
      </c>
      <c r="AU8" s="28">
        <v>0</v>
      </c>
      <c r="AV8" s="29">
        <f>Tabela4[[#This Row],[Realizado
Set]]-Tabela4[[#This Row],[Orçado
Set]]</f>
        <v>-353</v>
      </c>
      <c r="AW8" s="38">
        <f t="shared" si="8"/>
        <v>-1</v>
      </c>
      <c r="AX8" s="28">
        <v>353</v>
      </c>
      <c r="AY8" s="28">
        <v>0</v>
      </c>
      <c r="AZ8" s="29">
        <f>Tabela4[[#This Row],[Realizado
Out]]-Tabela4[[#This Row],[Orçado
Out]]</f>
        <v>-353</v>
      </c>
      <c r="BA8" s="38">
        <f t="shared" si="9"/>
        <v>-1</v>
      </c>
      <c r="BB8" s="28">
        <v>353</v>
      </c>
      <c r="BC8" s="28">
        <v>0</v>
      </c>
      <c r="BD8" s="29">
        <f>Tabela4[[#This Row],[Realizado
Nov]]-Tabela4[[#This Row],[Orçado
Nov]]</f>
        <v>-353</v>
      </c>
      <c r="BE8" s="38">
        <f t="shared" si="10"/>
        <v>-1</v>
      </c>
      <c r="BF8" s="28">
        <v>353</v>
      </c>
      <c r="BG8" s="57">
        <v>0</v>
      </c>
      <c r="BH8" s="29">
        <f>Tabela4[[#This Row],[Realizado
Dez]]-Tabela4[[#This Row],[Orçado
Dez]]</f>
        <v>-353</v>
      </c>
      <c r="BI8" s="38">
        <f t="shared" si="11"/>
        <v>-1</v>
      </c>
      <c r="BJ8" s="29">
        <f t="shared" si="12"/>
        <v>3338</v>
      </c>
      <c r="BK8" s="29">
        <f t="shared" si="13"/>
        <v>507</v>
      </c>
      <c r="BL8" s="34">
        <f t="shared" si="14"/>
        <v>-2838</v>
      </c>
      <c r="BM8" s="42">
        <f t="shared" si="15"/>
        <v>-0.84811264230077887</v>
      </c>
      <c r="BN8" s="36">
        <f>Tabela4[[#This Row],[Total Orçado
Ano]]-Tabela4[[#This Row],[Total Realizado
Ano]]</f>
        <v>2831</v>
      </c>
      <c r="BO8" s="36">
        <f>Tabela4[[#This Row],[Total Orçado
Ano]]-Tabela4[[#This Row],[Total Realizado
Ano]]</f>
        <v>2831</v>
      </c>
      <c r="BP8" s="23" t="s">
        <v>262</v>
      </c>
    </row>
    <row r="9" spans="1:68" s="23" customFormat="1" ht="12" x14ac:dyDescent="0.2">
      <c r="A9" s="25">
        <v>2026</v>
      </c>
      <c r="B9" s="14" t="s">
        <v>92</v>
      </c>
      <c r="C9" s="14" t="s">
        <v>139</v>
      </c>
      <c r="D9" s="23" t="s">
        <v>93</v>
      </c>
      <c r="E9" s="23" t="s">
        <v>2</v>
      </c>
      <c r="F9" s="23" t="s">
        <v>222</v>
      </c>
      <c r="H9" s="23" t="s">
        <v>94</v>
      </c>
      <c r="J9" s="23" t="s">
        <v>86</v>
      </c>
      <c r="K9" s="23" t="s">
        <v>96</v>
      </c>
      <c r="L9" s="23" t="s">
        <v>90</v>
      </c>
      <c r="N9" s="28">
        <v>676</v>
      </c>
      <c r="O9" s="28">
        <v>676</v>
      </c>
      <c r="P9" s="30">
        <f>Tabela4[[#This Row],[Realizado
Jan]]-Tabela4[[#This Row],[Orçado
Jan]]</f>
        <v>0</v>
      </c>
      <c r="Q9" s="39">
        <f t="shared" si="0"/>
        <v>0</v>
      </c>
      <c r="R9" s="28">
        <v>676</v>
      </c>
      <c r="S9" s="28">
        <v>676</v>
      </c>
      <c r="T9" s="30">
        <f>Tabela4[[#This Row],[Realizado
Fev]]-Tabela4[[#This Row],[Orçado
Fev]]</f>
        <v>0</v>
      </c>
      <c r="U9" s="39">
        <f t="shared" si="1"/>
        <v>0</v>
      </c>
      <c r="V9" s="28">
        <v>706</v>
      </c>
      <c r="W9" s="28">
        <v>845</v>
      </c>
      <c r="X9" s="30">
        <f>Tabela4[[#This Row],[Realizado
Mar]]-Tabela4[[#This Row],[Orçado
Mar]]</f>
        <v>139</v>
      </c>
      <c r="Y9" s="39">
        <f t="shared" si="2"/>
        <v>0.19688385269121814</v>
      </c>
      <c r="Z9" s="28">
        <v>706</v>
      </c>
      <c r="AA9" s="28">
        <v>0</v>
      </c>
      <c r="AB9" s="30">
        <f>Tabela4[[#This Row],[Realizado
Abr]]-Tabela4[[#This Row],[Orçado
Abr]]</f>
        <v>-706</v>
      </c>
      <c r="AC9" s="39">
        <f t="shared" si="3"/>
        <v>-1</v>
      </c>
      <c r="AD9" s="28">
        <v>882</v>
      </c>
      <c r="AE9" s="28">
        <v>0</v>
      </c>
      <c r="AF9" s="30">
        <f>Tabela4[[#This Row],[Realizado
Mai]]-Tabela4[[#This Row],[Orçado
Mai]]</f>
        <v>-882</v>
      </c>
      <c r="AG9" s="38">
        <f t="shared" si="4"/>
        <v>-1</v>
      </c>
      <c r="AH9" s="28">
        <v>882</v>
      </c>
      <c r="AI9" s="28">
        <v>0</v>
      </c>
      <c r="AJ9" s="30">
        <f>Tabela4[[#This Row],[Realizado
Jun]]-Tabela4[[#This Row],[Orçado
Jun]]</f>
        <v>-882</v>
      </c>
      <c r="AK9" s="38">
        <f t="shared" si="5"/>
        <v>-1</v>
      </c>
      <c r="AL9" s="28">
        <v>882</v>
      </c>
      <c r="AM9" s="28">
        <v>0</v>
      </c>
      <c r="AN9" s="30">
        <f>Tabela4[[#This Row],[Realizado
Jul]]-Tabela4[[#This Row],[Orçado
Jul]]</f>
        <v>-882</v>
      </c>
      <c r="AO9" s="38">
        <f t="shared" si="6"/>
        <v>-1</v>
      </c>
      <c r="AP9" s="28">
        <v>882</v>
      </c>
      <c r="AQ9" s="28"/>
      <c r="AR9" s="29">
        <f>Tabela4[[#This Row],[Realizado
Ago]]-Tabela4[[#This Row],[Orçado
Ago]]</f>
        <v>-882</v>
      </c>
      <c r="AS9" s="38">
        <f t="shared" si="7"/>
        <v>-1</v>
      </c>
      <c r="AT9" s="28">
        <v>882</v>
      </c>
      <c r="AU9" s="28">
        <v>0</v>
      </c>
      <c r="AV9" s="29">
        <f>Tabela4[[#This Row],[Realizado
Set]]-Tabela4[[#This Row],[Orçado
Set]]</f>
        <v>-882</v>
      </c>
      <c r="AW9" s="38">
        <f t="shared" si="8"/>
        <v>-1</v>
      </c>
      <c r="AX9" s="28">
        <v>882</v>
      </c>
      <c r="AY9" s="28">
        <v>0</v>
      </c>
      <c r="AZ9" s="29">
        <f>Tabela4[[#This Row],[Realizado
Out]]-Tabela4[[#This Row],[Orçado
Out]]</f>
        <v>-882</v>
      </c>
      <c r="BA9" s="38">
        <f t="shared" si="9"/>
        <v>-1</v>
      </c>
      <c r="BB9" s="28">
        <v>882</v>
      </c>
      <c r="BC9" s="28">
        <v>0</v>
      </c>
      <c r="BD9" s="29">
        <f>Tabela4[[#This Row],[Realizado
Nov]]-Tabela4[[#This Row],[Orçado
Nov]]</f>
        <v>-882</v>
      </c>
      <c r="BE9" s="38">
        <f t="shared" si="10"/>
        <v>-1</v>
      </c>
      <c r="BF9" s="28">
        <v>882</v>
      </c>
      <c r="BG9" s="57">
        <v>0</v>
      </c>
      <c r="BH9" s="29">
        <f>Tabela4[[#This Row],[Realizado
Dez]]-Tabela4[[#This Row],[Orçado
Dez]]</f>
        <v>-882</v>
      </c>
      <c r="BI9" s="38">
        <f t="shared" si="11"/>
        <v>-1</v>
      </c>
      <c r="BJ9" s="29">
        <f t="shared" si="12"/>
        <v>9820</v>
      </c>
      <c r="BK9" s="29">
        <f t="shared" si="13"/>
        <v>2197</v>
      </c>
      <c r="BL9" s="34">
        <f t="shared" si="14"/>
        <v>-7484</v>
      </c>
      <c r="BM9" s="42">
        <f t="shared" si="15"/>
        <v>-0.77627291242362528</v>
      </c>
      <c r="BN9" s="36">
        <f>Tabela4[[#This Row],[Total Orçado
Ano]]-Tabela4[[#This Row],[Total Realizado
Ano]]</f>
        <v>7623</v>
      </c>
      <c r="BO9" s="36">
        <f>Tabela4[[#This Row],[Total Orçado
Ano]]-Tabela4[[#This Row],[Total Realizado
Ano]]</f>
        <v>7623</v>
      </c>
      <c r="BP9" s="23" t="s">
        <v>262</v>
      </c>
    </row>
    <row r="10" spans="1:68" s="23" customFormat="1" ht="12" x14ac:dyDescent="0.2">
      <c r="A10" s="13">
        <v>2026</v>
      </c>
      <c r="B10" s="14" t="s">
        <v>92</v>
      </c>
      <c r="C10" s="14" t="s">
        <v>139</v>
      </c>
      <c r="D10" s="14" t="s">
        <v>93</v>
      </c>
      <c r="E10" s="14" t="s">
        <v>2</v>
      </c>
      <c r="F10" s="14" t="s">
        <v>181</v>
      </c>
      <c r="G10" s="14"/>
      <c r="H10" s="14" t="s">
        <v>98</v>
      </c>
      <c r="I10" s="14"/>
      <c r="J10" s="14" t="s">
        <v>86</v>
      </c>
      <c r="K10" s="14" t="s">
        <v>96</v>
      </c>
      <c r="L10" s="23" t="s">
        <v>90</v>
      </c>
      <c r="M10" s="14" t="s">
        <v>268</v>
      </c>
      <c r="N10" s="27">
        <v>6445</v>
      </c>
      <c r="O10" s="27">
        <v>10278.01</v>
      </c>
      <c r="P10" s="29">
        <f>Tabela4[[#This Row],[Realizado
Jan]]-Tabela4[[#This Row],[Orçado
Jan]]</f>
        <v>3833.01</v>
      </c>
      <c r="Q10" s="38">
        <f t="shared" si="0"/>
        <v>0.59472614429790538</v>
      </c>
      <c r="R10" s="27">
        <v>6445</v>
      </c>
      <c r="S10" s="27">
        <f>9561.37+184.17</f>
        <v>9745.5400000000009</v>
      </c>
      <c r="T10" s="29">
        <f>Tabela4[[#This Row],[Realizado
Fev]]-Tabela4[[#This Row],[Orçado
Fev]]</f>
        <v>3300.5400000000009</v>
      </c>
      <c r="U10" s="38">
        <f t="shared" si="1"/>
        <v>0.5121086113266099</v>
      </c>
      <c r="V10" s="27">
        <v>6445</v>
      </c>
      <c r="W10" s="27">
        <v>9947.43</v>
      </c>
      <c r="X10" s="29">
        <f>Tabela4[[#This Row],[Realizado
Mar]]-Tabela4[[#This Row],[Orçado
Mar]]</f>
        <v>3502.4300000000003</v>
      </c>
      <c r="Y10" s="38">
        <f t="shared" si="2"/>
        <v>0.54343366951124905</v>
      </c>
      <c r="Z10" s="27">
        <v>0</v>
      </c>
      <c r="AA10" s="27">
        <v>0</v>
      </c>
      <c r="AB10" s="29">
        <f>Tabela4[[#This Row],[Realizado
Abr]]-Tabela4[[#This Row],[Orçado
Abr]]</f>
        <v>0</v>
      </c>
      <c r="AC10" s="38" t="str">
        <f t="shared" si="3"/>
        <v>-</v>
      </c>
      <c r="AD10" s="27">
        <v>6445</v>
      </c>
      <c r="AE10" s="27">
        <v>0</v>
      </c>
      <c r="AF10" s="29">
        <f>Tabela4[[#This Row],[Realizado
Mai]]-Tabela4[[#This Row],[Orçado
Mai]]</f>
        <v>-6445</v>
      </c>
      <c r="AG10" s="38">
        <f t="shared" si="4"/>
        <v>-1</v>
      </c>
      <c r="AH10" s="27">
        <v>6445</v>
      </c>
      <c r="AI10" s="27">
        <v>0</v>
      </c>
      <c r="AJ10" s="29">
        <f>Tabela4[[#This Row],[Realizado
Jun]]-Tabela4[[#This Row],[Orçado
Jun]]</f>
        <v>-6445</v>
      </c>
      <c r="AK10" s="38">
        <f t="shared" si="5"/>
        <v>-1</v>
      </c>
      <c r="AL10" s="27">
        <v>6445</v>
      </c>
      <c r="AM10" s="27">
        <v>0</v>
      </c>
      <c r="AN10" s="29">
        <f>Tabela4[[#This Row],[Realizado
Jul]]-Tabela4[[#This Row],[Orçado
Jul]]</f>
        <v>-6445</v>
      </c>
      <c r="AO10" s="38">
        <f t="shared" si="6"/>
        <v>-1</v>
      </c>
      <c r="AP10" s="27">
        <v>6445</v>
      </c>
      <c r="AQ10" s="27">
        <v>0</v>
      </c>
      <c r="AR10" s="29">
        <f>Tabela4[[#This Row],[Realizado
Ago]]-Tabela4[[#This Row],[Orçado
Ago]]</f>
        <v>-6445</v>
      </c>
      <c r="AS10" s="38">
        <f t="shared" si="7"/>
        <v>-1</v>
      </c>
      <c r="AT10" s="27">
        <v>6445</v>
      </c>
      <c r="AU10" s="27">
        <v>0</v>
      </c>
      <c r="AV10" s="29">
        <f>Tabela4[[#This Row],[Realizado
Set]]-Tabela4[[#This Row],[Orçado
Set]]</f>
        <v>-6445</v>
      </c>
      <c r="AW10" s="38">
        <f t="shared" si="8"/>
        <v>-1</v>
      </c>
      <c r="AX10" s="27">
        <v>6445</v>
      </c>
      <c r="AY10" s="27">
        <v>0</v>
      </c>
      <c r="AZ10" s="29">
        <f>Tabela4[[#This Row],[Realizado
Out]]-Tabela4[[#This Row],[Orçado
Out]]</f>
        <v>-6445</v>
      </c>
      <c r="BA10" s="38">
        <f t="shared" si="9"/>
        <v>-1</v>
      </c>
      <c r="BB10" s="27">
        <v>6445</v>
      </c>
      <c r="BC10" s="27">
        <v>0</v>
      </c>
      <c r="BD10" s="29">
        <f>Tabela4[[#This Row],[Realizado
Nov]]-Tabela4[[#This Row],[Orçado
Nov]]</f>
        <v>-6445</v>
      </c>
      <c r="BE10" s="38">
        <f t="shared" si="10"/>
        <v>-1</v>
      </c>
      <c r="BF10" s="27">
        <v>6445</v>
      </c>
      <c r="BG10" s="56">
        <v>0</v>
      </c>
      <c r="BH10" s="29">
        <f>Tabela4[[#This Row],[Realizado
Dez]]-Tabela4[[#This Row],[Orçado
Dez]]</f>
        <v>-6445</v>
      </c>
      <c r="BI10" s="38">
        <f t="shared" si="11"/>
        <v>-1</v>
      </c>
      <c r="BJ10" s="29">
        <f t="shared" si="12"/>
        <v>70895</v>
      </c>
      <c r="BK10" s="29">
        <f t="shared" si="13"/>
        <v>29970.980000000003</v>
      </c>
      <c r="BL10" s="34">
        <f t="shared" si="14"/>
        <v>-37421.589999999997</v>
      </c>
      <c r="BM10" s="42">
        <f t="shared" si="15"/>
        <v>-0.57724832498765777</v>
      </c>
      <c r="BN10" s="27">
        <f>Tabela4[[#This Row],[Total Orçado
Ano]]-Tabela4[[#This Row],[Total Realizado
Ano]]</f>
        <v>40924.019999999997</v>
      </c>
      <c r="BO10" s="36">
        <f>Tabela4[[#This Row],[Total Orçado
Ano]]-Tabela4[[#This Row],[Total Realizado
Ano]]</f>
        <v>40924.019999999997</v>
      </c>
    </row>
    <row r="11" spans="1:68" s="23" customFormat="1" ht="12" x14ac:dyDescent="0.2">
      <c r="A11" s="13">
        <v>2026</v>
      </c>
      <c r="B11" s="14" t="s">
        <v>92</v>
      </c>
      <c r="C11" s="14" t="s">
        <v>139</v>
      </c>
      <c r="D11" s="14" t="s">
        <v>93</v>
      </c>
      <c r="E11" s="14" t="s">
        <v>2</v>
      </c>
      <c r="F11" s="14" t="s">
        <v>182</v>
      </c>
      <c r="G11" s="14" t="s">
        <v>270</v>
      </c>
      <c r="H11" s="14" t="s">
        <v>99</v>
      </c>
      <c r="I11" s="14"/>
      <c r="J11" s="14" t="s">
        <v>86</v>
      </c>
      <c r="K11" s="14" t="s">
        <v>96</v>
      </c>
      <c r="L11" s="23" t="s">
        <v>90</v>
      </c>
      <c r="M11" s="14" t="s">
        <v>269</v>
      </c>
      <c r="N11" s="27">
        <v>15042</v>
      </c>
      <c r="O11" s="27">
        <v>15042</v>
      </c>
      <c r="P11" s="29">
        <f>Tabela4[[#This Row],[Realizado
Jan]]-Tabela4[[#This Row],[Orçado
Jan]]</f>
        <v>0</v>
      </c>
      <c r="Q11" s="38">
        <f t="shared" si="0"/>
        <v>0</v>
      </c>
      <c r="R11" s="27">
        <v>15042</v>
      </c>
      <c r="S11" s="27">
        <v>15042</v>
      </c>
      <c r="T11" s="29">
        <f>Tabela4[[#This Row],[Realizado
Fev]]-Tabela4[[#This Row],[Orçado
Fev]]</f>
        <v>0</v>
      </c>
      <c r="U11" s="38">
        <f t="shared" si="1"/>
        <v>0</v>
      </c>
      <c r="V11" s="27">
        <v>15699</v>
      </c>
      <c r="W11" s="27">
        <v>15042</v>
      </c>
      <c r="X11" s="29">
        <f>Tabela4[[#This Row],[Realizado
Mar]]-Tabela4[[#This Row],[Orçado
Mar]]</f>
        <v>-657</v>
      </c>
      <c r="Y11" s="38">
        <f t="shared" si="2"/>
        <v>-4.1849799350277085E-2</v>
      </c>
      <c r="Z11" s="27">
        <v>15699</v>
      </c>
      <c r="AA11" s="27">
        <v>15042</v>
      </c>
      <c r="AB11" s="29">
        <f>Tabela4[[#This Row],[Realizado
Abr]]-Tabela4[[#This Row],[Orçado
Abr]]</f>
        <v>-657</v>
      </c>
      <c r="AC11" s="38">
        <f t="shared" si="3"/>
        <v>-4.1849799350277085E-2</v>
      </c>
      <c r="AD11" s="27">
        <v>15699</v>
      </c>
      <c r="AE11" s="27">
        <v>0</v>
      </c>
      <c r="AF11" s="29">
        <f>Tabela4[[#This Row],[Realizado
Mai]]-Tabela4[[#This Row],[Orçado
Mai]]</f>
        <v>-15699</v>
      </c>
      <c r="AG11" s="38">
        <f t="shared" si="4"/>
        <v>-1</v>
      </c>
      <c r="AH11" s="27">
        <v>15699</v>
      </c>
      <c r="AI11" s="27">
        <v>0</v>
      </c>
      <c r="AJ11" s="29">
        <f>Tabela4[[#This Row],[Realizado
Jun]]-Tabela4[[#This Row],[Orçado
Jun]]</f>
        <v>-15699</v>
      </c>
      <c r="AK11" s="38">
        <f t="shared" si="5"/>
        <v>-1</v>
      </c>
      <c r="AL11" s="27">
        <v>15699</v>
      </c>
      <c r="AM11" s="27">
        <v>0</v>
      </c>
      <c r="AN11" s="29">
        <f>Tabela4[[#This Row],[Realizado
Jul]]-Tabela4[[#This Row],[Orçado
Jul]]</f>
        <v>-15699</v>
      </c>
      <c r="AO11" s="38">
        <f t="shared" si="6"/>
        <v>-1</v>
      </c>
      <c r="AP11" s="27">
        <v>15699</v>
      </c>
      <c r="AQ11" s="27">
        <v>0</v>
      </c>
      <c r="AR11" s="29">
        <f>Tabela4[[#This Row],[Realizado
Ago]]-Tabela4[[#This Row],[Orçado
Ago]]</f>
        <v>-15699</v>
      </c>
      <c r="AS11" s="38">
        <f t="shared" si="7"/>
        <v>-1</v>
      </c>
      <c r="AT11" s="27">
        <v>15699</v>
      </c>
      <c r="AU11" s="27">
        <v>0</v>
      </c>
      <c r="AV11" s="29">
        <f>Tabela4[[#This Row],[Realizado
Set]]-Tabela4[[#This Row],[Orçado
Set]]</f>
        <v>-15699</v>
      </c>
      <c r="AW11" s="38">
        <f t="shared" si="8"/>
        <v>-1</v>
      </c>
      <c r="AX11" s="27">
        <v>15699</v>
      </c>
      <c r="AY11" s="27">
        <v>0</v>
      </c>
      <c r="AZ11" s="29">
        <f>Tabela4[[#This Row],[Realizado
Out]]-Tabela4[[#This Row],[Orçado
Out]]</f>
        <v>-15699</v>
      </c>
      <c r="BA11" s="38">
        <f t="shared" si="9"/>
        <v>-1</v>
      </c>
      <c r="BB11" s="27">
        <v>15699</v>
      </c>
      <c r="BC11" s="27">
        <v>0</v>
      </c>
      <c r="BD11" s="29">
        <f>Tabela4[[#This Row],[Realizado
Nov]]-Tabela4[[#This Row],[Orçado
Nov]]</f>
        <v>-15699</v>
      </c>
      <c r="BE11" s="38">
        <f t="shared" si="10"/>
        <v>-1</v>
      </c>
      <c r="BF11" s="27">
        <v>15699</v>
      </c>
      <c r="BG11" s="56">
        <v>0</v>
      </c>
      <c r="BH11" s="29">
        <f>Tabela4[[#This Row],[Realizado
Dez]]-Tabela4[[#This Row],[Orçado
Dez]]</f>
        <v>-15699</v>
      </c>
      <c r="BI11" s="38">
        <f t="shared" si="11"/>
        <v>-1</v>
      </c>
      <c r="BJ11" s="29">
        <f t="shared" si="12"/>
        <v>187074</v>
      </c>
      <c r="BK11" s="29">
        <f t="shared" si="13"/>
        <v>60168</v>
      </c>
      <c r="BL11" s="34">
        <f t="shared" si="14"/>
        <v>-127563</v>
      </c>
      <c r="BM11" s="42">
        <f t="shared" si="15"/>
        <v>-0.67837326405593512</v>
      </c>
      <c r="BN11" s="27">
        <f>Tabela4[[#This Row],[Total Orçado
Ano]]-Tabela4[[#This Row],[Total Realizado
Ano]]</f>
        <v>126906</v>
      </c>
      <c r="BO11" s="36">
        <f>Tabela4[[#This Row],[Total Orçado
Ano]]-Tabela4[[#This Row],[Total Realizado
Ano]]</f>
        <v>126906</v>
      </c>
    </row>
    <row r="12" spans="1:68" s="23" customFormat="1" ht="12" x14ac:dyDescent="0.2">
      <c r="A12" s="13">
        <v>2026</v>
      </c>
      <c r="B12" s="14" t="s">
        <v>92</v>
      </c>
      <c r="C12" s="2" t="s">
        <v>139</v>
      </c>
      <c r="D12" s="14" t="s">
        <v>93</v>
      </c>
      <c r="E12" s="14" t="s">
        <v>2</v>
      </c>
      <c r="F12" s="14" t="s">
        <v>184</v>
      </c>
      <c r="G12" s="14" t="s">
        <v>102</v>
      </c>
      <c r="H12" s="14" t="s">
        <v>101</v>
      </c>
      <c r="I12" s="14"/>
      <c r="J12" s="14" t="s">
        <v>86</v>
      </c>
      <c r="K12" s="14" t="s">
        <v>96</v>
      </c>
      <c r="L12" s="23" t="s">
        <v>90</v>
      </c>
      <c r="M12" s="41" t="s">
        <v>271</v>
      </c>
      <c r="N12" s="27">
        <v>25</v>
      </c>
      <c r="O12" s="27">
        <v>266.55</v>
      </c>
      <c r="P12" s="29">
        <f>Tabela4[[#This Row],[Realizado
Jan]]-Tabela4[[#This Row],[Orçado
Jan]]</f>
        <v>241.55</v>
      </c>
      <c r="Q12" s="38">
        <f t="shared" si="0"/>
        <v>9.6620000000000008</v>
      </c>
      <c r="R12" s="27">
        <v>25</v>
      </c>
      <c r="S12" s="27">
        <v>259.02999999999997</v>
      </c>
      <c r="T12" s="29">
        <f>Tabela4[[#This Row],[Realizado
Fev]]-Tabela4[[#This Row],[Orçado
Fev]]</f>
        <v>234.02999999999997</v>
      </c>
      <c r="U12" s="38">
        <f t="shared" si="1"/>
        <v>9.3611999999999984</v>
      </c>
      <c r="V12" s="27">
        <v>25</v>
      </c>
      <c r="W12" s="27">
        <v>261.69</v>
      </c>
      <c r="X12" s="29">
        <f>Tabela4[[#This Row],[Realizado
Mar]]-Tabela4[[#This Row],[Orçado
Mar]]</f>
        <v>236.69</v>
      </c>
      <c r="Y12" s="38">
        <f t="shared" si="2"/>
        <v>9.4675999999999991</v>
      </c>
      <c r="Z12" s="27">
        <v>25</v>
      </c>
      <c r="AA12" s="27">
        <v>0</v>
      </c>
      <c r="AB12" s="29">
        <f>Tabela4[[#This Row],[Realizado
Abr]]-Tabela4[[#This Row],[Orçado
Abr]]</f>
        <v>-25</v>
      </c>
      <c r="AC12" s="38">
        <f t="shared" si="3"/>
        <v>-1</v>
      </c>
      <c r="AD12" s="27">
        <v>25</v>
      </c>
      <c r="AE12" s="27">
        <v>0</v>
      </c>
      <c r="AF12" s="29">
        <f>Tabela4[[#This Row],[Realizado
Mai]]-Tabela4[[#This Row],[Orçado
Mai]]</f>
        <v>-25</v>
      </c>
      <c r="AG12" s="38">
        <f t="shared" si="4"/>
        <v>-1</v>
      </c>
      <c r="AH12" s="27">
        <v>25</v>
      </c>
      <c r="AI12" s="27">
        <v>0</v>
      </c>
      <c r="AJ12" s="29">
        <f>Tabela4[[#This Row],[Realizado
Jun]]-Tabela4[[#This Row],[Orçado
Jun]]</f>
        <v>-25</v>
      </c>
      <c r="AK12" s="38">
        <f t="shared" si="5"/>
        <v>-1</v>
      </c>
      <c r="AL12" s="27">
        <v>25</v>
      </c>
      <c r="AM12" s="27">
        <v>0</v>
      </c>
      <c r="AN12" s="29">
        <f>Tabela4[[#This Row],[Realizado
Jul]]-Tabela4[[#This Row],[Orçado
Jul]]</f>
        <v>-25</v>
      </c>
      <c r="AO12" s="38">
        <f t="shared" si="6"/>
        <v>-1</v>
      </c>
      <c r="AP12" s="27">
        <v>25</v>
      </c>
      <c r="AQ12" s="27">
        <v>0</v>
      </c>
      <c r="AR12" s="29">
        <f>Tabela4[[#This Row],[Realizado
Ago]]-Tabela4[[#This Row],[Orçado
Ago]]</f>
        <v>-25</v>
      </c>
      <c r="AS12" s="38">
        <f t="shared" si="7"/>
        <v>-1</v>
      </c>
      <c r="AT12" s="27">
        <v>25</v>
      </c>
      <c r="AU12" s="27">
        <v>0</v>
      </c>
      <c r="AV12" s="29">
        <f>Tabela4[[#This Row],[Realizado
Set]]-Tabela4[[#This Row],[Orçado
Set]]</f>
        <v>-25</v>
      </c>
      <c r="AW12" s="38">
        <f t="shared" si="8"/>
        <v>-1</v>
      </c>
      <c r="AX12" s="27">
        <v>25</v>
      </c>
      <c r="AY12" s="27">
        <v>0</v>
      </c>
      <c r="AZ12" s="29">
        <f>Tabela4[[#This Row],[Realizado
Out]]-Tabela4[[#This Row],[Orçado
Out]]</f>
        <v>-25</v>
      </c>
      <c r="BA12" s="38">
        <f t="shared" si="9"/>
        <v>-1</v>
      </c>
      <c r="BB12" s="27">
        <v>25</v>
      </c>
      <c r="BC12" s="27">
        <v>0</v>
      </c>
      <c r="BD12" s="29">
        <f>Tabela4[[#This Row],[Realizado
Nov]]-Tabela4[[#This Row],[Orçado
Nov]]</f>
        <v>-25</v>
      </c>
      <c r="BE12" s="38">
        <f t="shared" si="10"/>
        <v>-1</v>
      </c>
      <c r="BF12" s="27">
        <v>25</v>
      </c>
      <c r="BG12" s="56">
        <v>0</v>
      </c>
      <c r="BH12" s="29">
        <f>Tabela4[[#This Row],[Realizado
Dez]]-Tabela4[[#This Row],[Orçado
Dez]]</f>
        <v>-25</v>
      </c>
      <c r="BI12" s="38">
        <f t="shared" si="11"/>
        <v>-1</v>
      </c>
      <c r="BJ12" s="29">
        <f t="shared" si="12"/>
        <v>300</v>
      </c>
      <c r="BK12" s="29">
        <f t="shared" si="13"/>
        <v>787.27</v>
      </c>
      <c r="BL12" s="34">
        <f t="shared" si="14"/>
        <v>723.96</v>
      </c>
      <c r="BM12" s="42">
        <f t="shared" si="15"/>
        <v>1.6242333333333332</v>
      </c>
      <c r="BN12" s="27">
        <f>Tabela4[[#This Row],[Total Orçado
Ano]]-Tabela4[[#This Row],[Total Realizado
Ano]]</f>
        <v>-487.27</v>
      </c>
      <c r="BO12" s="36">
        <f>Tabela4[[#This Row],[Total Orçado
Ano]]-Tabela4[[#This Row],[Total Realizado
Ano]]</f>
        <v>-487.27</v>
      </c>
    </row>
    <row r="13" spans="1:68" s="23" customFormat="1" ht="12" x14ac:dyDescent="0.2">
      <c r="A13" s="13">
        <v>2026</v>
      </c>
      <c r="B13" s="14" t="s">
        <v>92</v>
      </c>
      <c r="C13" s="14" t="s">
        <v>139</v>
      </c>
      <c r="D13" s="14" t="s">
        <v>93</v>
      </c>
      <c r="E13" s="14" t="s">
        <v>2</v>
      </c>
      <c r="F13" s="14" t="s">
        <v>189</v>
      </c>
      <c r="G13" s="14" t="s">
        <v>106</v>
      </c>
      <c r="H13" s="14" t="s">
        <v>107</v>
      </c>
      <c r="I13" s="14"/>
      <c r="J13" s="14" t="s">
        <v>86</v>
      </c>
      <c r="K13" s="14" t="s">
        <v>96</v>
      </c>
      <c r="L13" s="23" t="s">
        <v>90</v>
      </c>
      <c r="M13" s="14" t="s">
        <v>272</v>
      </c>
      <c r="N13" s="27">
        <v>0</v>
      </c>
      <c r="O13" s="27">
        <v>0</v>
      </c>
      <c r="P13" s="29">
        <f>Tabela4[[#This Row],[Realizado
Jan]]-Tabela4[[#This Row],[Orçado
Jan]]</f>
        <v>0</v>
      </c>
      <c r="Q13" s="38" t="str">
        <f t="shared" si="0"/>
        <v>-</v>
      </c>
      <c r="R13" s="27">
        <v>0</v>
      </c>
      <c r="S13" s="27">
        <v>0</v>
      </c>
      <c r="T13" s="29">
        <f>Tabela4[[#This Row],[Realizado
Fev]]-Tabela4[[#This Row],[Orçado
Fev]]</f>
        <v>0</v>
      </c>
      <c r="U13" s="38" t="str">
        <f t="shared" si="1"/>
        <v>-</v>
      </c>
      <c r="V13" s="27">
        <v>0</v>
      </c>
      <c r="W13" s="27">
        <v>0</v>
      </c>
      <c r="X13" s="29">
        <f>Tabela4[[#This Row],[Realizado
Mar]]-Tabela4[[#This Row],[Orçado
Mar]]</f>
        <v>0</v>
      </c>
      <c r="Y13" s="38" t="str">
        <f t="shared" si="2"/>
        <v>-</v>
      </c>
      <c r="Z13" s="27">
        <v>0</v>
      </c>
      <c r="AA13" s="27">
        <v>2618.5</v>
      </c>
      <c r="AB13" s="29">
        <f>Tabela4[[#This Row],[Realizado
Abr]]-Tabela4[[#This Row],[Orçado
Abr]]</f>
        <v>2618.5</v>
      </c>
      <c r="AC13" s="38" t="str">
        <f t="shared" si="3"/>
        <v>-</v>
      </c>
      <c r="AD13" s="27">
        <v>0</v>
      </c>
      <c r="AE13" s="27">
        <v>0</v>
      </c>
      <c r="AF13" s="29">
        <f>Tabela4[[#This Row],[Realizado
Mai]]-Tabela4[[#This Row],[Orçado
Mai]]</f>
        <v>0</v>
      </c>
      <c r="AG13" s="38" t="str">
        <f t="shared" si="4"/>
        <v>-</v>
      </c>
      <c r="AH13" s="27">
        <v>0</v>
      </c>
      <c r="AI13" s="27">
        <v>0</v>
      </c>
      <c r="AJ13" s="29">
        <f>Tabela4[[#This Row],[Realizado
Jun]]-Tabela4[[#This Row],[Orçado
Jun]]</f>
        <v>0</v>
      </c>
      <c r="AK13" s="38" t="str">
        <f t="shared" si="5"/>
        <v>-</v>
      </c>
      <c r="AL13" s="27">
        <v>0</v>
      </c>
      <c r="AM13" s="27">
        <v>0</v>
      </c>
      <c r="AN13" s="29">
        <f>Tabela4[[#This Row],[Realizado
Jul]]-Tabela4[[#This Row],[Orçado
Jul]]</f>
        <v>0</v>
      </c>
      <c r="AO13" s="38" t="str">
        <f t="shared" si="6"/>
        <v>-</v>
      </c>
      <c r="AP13" s="27">
        <v>0</v>
      </c>
      <c r="AQ13" s="27">
        <v>0</v>
      </c>
      <c r="AR13" s="29">
        <f>Tabela4[[#This Row],[Realizado
Ago]]-Tabela4[[#This Row],[Orçado
Ago]]</f>
        <v>0</v>
      </c>
      <c r="AS13" s="38" t="str">
        <f t="shared" si="7"/>
        <v>-</v>
      </c>
      <c r="AT13" s="27">
        <v>0</v>
      </c>
      <c r="AU13" s="27">
        <v>0</v>
      </c>
      <c r="AV13" s="29">
        <f>Tabela4[[#This Row],[Realizado
Set]]-Tabela4[[#This Row],[Orçado
Set]]</f>
        <v>0</v>
      </c>
      <c r="AW13" s="38" t="str">
        <f t="shared" si="8"/>
        <v>-</v>
      </c>
      <c r="AX13" s="27">
        <v>0</v>
      </c>
      <c r="AY13" s="27">
        <v>0</v>
      </c>
      <c r="AZ13" s="29">
        <f>Tabela4[[#This Row],[Realizado
Out]]-Tabela4[[#This Row],[Orçado
Out]]</f>
        <v>0</v>
      </c>
      <c r="BA13" s="38" t="str">
        <f t="shared" si="9"/>
        <v>-</v>
      </c>
      <c r="BB13" s="27">
        <v>0</v>
      </c>
      <c r="BC13" s="27">
        <v>0</v>
      </c>
      <c r="BD13" s="29">
        <f>Tabela4[[#This Row],[Realizado
Nov]]-Tabela4[[#This Row],[Orçado
Nov]]</f>
        <v>0</v>
      </c>
      <c r="BE13" s="38" t="str">
        <f t="shared" si="10"/>
        <v>-</v>
      </c>
      <c r="BF13" s="27">
        <v>0</v>
      </c>
      <c r="BG13" s="56">
        <v>0</v>
      </c>
      <c r="BH13" s="29">
        <f>Tabela4[[#This Row],[Realizado
Dez]]-Tabela4[[#This Row],[Orçado
Dez]]</f>
        <v>0</v>
      </c>
      <c r="BI13" s="38" t="str">
        <f t="shared" si="11"/>
        <v>-</v>
      </c>
      <c r="BJ13" s="29">
        <f t="shared" si="12"/>
        <v>0</v>
      </c>
      <c r="BK13" s="29">
        <f t="shared" si="13"/>
        <v>2618.5</v>
      </c>
      <c r="BL13" s="34">
        <f t="shared" si="14"/>
        <v>2618.5</v>
      </c>
      <c r="BM13" s="42" t="str">
        <f t="shared" si="15"/>
        <v>-</v>
      </c>
      <c r="BN13" s="27">
        <f>Tabela4[[#This Row],[Total Orçado
Ano]]-Tabela4[[#This Row],[Total Realizado
Ano]]</f>
        <v>-2618.5</v>
      </c>
      <c r="BO13" s="36">
        <f>Tabela4[[#This Row],[Total Orçado
Ano]]-Tabela4[[#This Row],[Total Realizado
Ano]]</f>
        <v>-2618.5</v>
      </c>
    </row>
    <row r="14" spans="1:68" s="23" customFormat="1" ht="12" x14ac:dyDescent="0.2">
      <c r="A14" s="13">
        <v>2026</v>
      </c>
      <c r="B14" s="14" t="s">
        <v>92</v>
      </c>
      <c r="C14" s="14" t="s">
        <v>139</v>
      </c>
      <c r="D14" s="14" t="s">
        <v>93</v>
      </c>
      <c r="E14" s="14" t="s">
        <v>2</v>
      </c>
      <c r="F14" s="14" t="s">
        <v>185</v>
      </c>
      <c r="G14" s="14"/>
      <c r="H14" s="14" t="s">
        <v>103</v>
      </c>
      <c r="I14" s="14"/>
      <c r="J14" s="14" t="s">
        <v>86</v>
      </c>
      <c r="K14" s="14" t="s">
        <v>96</v>
      </c>
      <c r="L14" s="23" t="s">
        <v>90</v>
      </c>
      <c r="M14" s="14" t="s">
        <v>272</v>
      </c>
      <c r="N14" s="27">
        <v>0</v>
      </c>
      <c r="O14" s="27">
        <v>0</v>
      </c>
      <c r="P14" s="29">
        <f>Tabela4[[#This Row],[Realizado
Jan]]-Tabela4[[#This Row],[Orçado
Jan]]</f>
        <v>0</v>
      </c>
      <c r="Q14" s="38" t="str">
        <f t="shared" si="0"/>
        <v>-</v>
      </c>
      <c r="R14" s="27">
        <v>0</v>
      </c>
      <c r="S14" s="27">
        <v>0</v>
      </c>
      <c r="T14" s="29">
        <f>Tabela4[[#This Row],[Realizado
Fev]]-Tabela4[[#This Row],[Orçado
Fev]]</f>
        <v>0</v>
      </c>
      <c r="U14" s="38" t="str">
        <f t="shared" si="1"/>
        <v>-</v>
      </c>
      <c r="V14" s="27">
        <v>0</v>
      </c>
      <c r="W14" s="27">
        <v>1416.44</v>
      </c>
      <c r="X14" s="29">
        <f>Tabela4[[#This Row],[Realizado
Mar]]-Tabela4[[#This Row],[Orçado
Mar]]</f>
        <v>1416.44</v>
      </c>
      <c r="Y14" s="38" t="str">
        <f t="shared" si="2"/>
        <v>-</v>
      </c>
      <c r="Z14" s="27">
        <v>0</v>
      </c>
      <c r="AA14" s="27">
        <v>0</v>
      </c>
      <c r="AB14" s="29">
        <f>Tabela4[[#This Row],[Realizado
Abr]]-Tabela4[[#This Row],[Orçado
Abr]]</f>
        <v>0</v>
      </c>
      <c r="AC14" s="38" t="str">
        <f t="shared" si="3"/>
        <v>-</v>
      </c>
      <c r="AD14" s="27">
        <v>0</v>
      </c>
      <c r="AE14" s="27">
        <v>0</v>
      </c>
      <c r="AF14" s="29">
        <f>Tabela4[[#This Row],[Realizado
Mai]]-Tabela4[[#This Row],[Orçado
Mai]]</f>
        <v>0</v>
      </c>
      <c r="AG14" s="38" t="str">
        <f t="shared" si="4"/>
        <v>-</v>
      </c>
      <c r="AH14" s="27">
        <v>0</v>
      </c>
      <c r="AI14" s="27">
        <v>0</v>
      </c>
      <c r="AJ14" s="29">
        <f>Tabela4[[#This Row],[Realizado
Jun]]-Tabela4[[#This Row],[Orçado
Jun]]</f>
        <v>0</v>
      </c>
      <c r="AK14" s="38" t="str">
        <f t="shared" si="5"/>
        <v>-</v>
      </c>
      <c r="AL14" s="27">
        <v>0</v>
      </c>
      <c r="AM14" s="27">
        <v>0</v>
      </c>
      <c r="AN14" s="29">
        <f>Tabela4[[#This Row],[Realizado
Jul]]-Tabela4[[#This Row],[Orçado
Jul]]</f>
        <v>0</v>
      </c>
      <c r="AO14" s="38" t="str">
        <f t="shared" si="6"/>
        <v>-</v>
      </c>
      <c r="AP14" s="27">
        <v>0</v>
      </c>
      <c r="AQ14" s="27">
        <v>0</v>
      </c>
      <c r="AR14" s="29">
        <f>Tabela4[[#This Row],[Realizado
Ago]]-Tabela4[[#This Row],[Orçado
Ago]]</f>
        <v>0</v>
      </c>
      <c r="AS14" s="38" t="str">
        <f t="shared" si="7"/>
        <v>-</v>
      </c>
      <c r="AT14" s="27">
        <v>0</v>
      </c>
      <c r="AU14" s="27">
        <v>0</v>
      </c>
      <c r="AV14" s="29">
        <f>Tabela4[[#This Row],[Realizado
Set]]-Tabela4[[#This Row],[Orçado
Set]]</f>
        <v>0</v>
      </c>
      <c r="AW14" s="38" t="str">
        <f t="shared" si="8"/>
        <v>-</v>
      </c>
      <c r="AX14" s="27">
        <v>0</v>
      </c>
      <c r="AY14" s="27">
        <v>0</v>
      </c>
      <c r="AZ14" s="29">
        <f>Tabela4[[#This Row],[Realizado
Out]]-Tabela4[[#This Row],[Orçado
Out]]</f>
        <v>0</v>
      </c>
      <c r="BA14" s="38" t="str">
        <f t="shared" si="9"/>
        <v>-</v>
      </c>
      <c r="BB14" s="27">
        <v>0</v>
      </c>
      <c r="BC14" s="27">
        <v>0</v>
      </c>
      <c r="BD14" s="29">
        <f>Tabela4[[#This Row],[Realizado
Nov]]-Tabela4[[#This Row],[Orçado
Nov]]</f>
        <v>0</v>
      </c>
      <c r="BE14" s="38" t="str">
        <f t="shared" si="10"/>
        <v>-</v>
      </c>
      <c r="BF14" s="27">
        <v>0</v>
      </c>
      <c r="BG14" s="56">
        <v>0</v>
      </c>
      <c r="BH14" s="29">
        <f>Tabela4[[#This Row],[Realizado
Dez]]-Tabela4[[#This Row],[Orçado
Dez]]</f>
        <v>0</v>
      </c>
      <c r="BI14" s="38" t="str">
        <f t="shared" si="11"/>
        <v>-</v>
      </c>
      <c r="BJ14" s="29">
        <f t="shared" si="12"/>
        <v>0</v>
      </c>
      <c r="BK14" s="29">
        <f t="shared" si="13"/>
        <v>1416.44</v>
      </c>
      <c r="BL14" s="34">
        <f t="shared" si="14"/>
        <v>2832.88</v>
      </c>
      <c r="BM14" s="42" t="str">
        <f t="shared" si="15"/>
        <v>-</v>
      </c>
      <c r="BN14" s="27">
        <f>Tabela4[[#This Row],[Total Orçado
Ano]]-Tabela4[[#This Row],[Total Realizado
Ano]]</f>
        <v>-1416.44</v>
      </c>
      <c r="BO14" s="36">
        <f>Tabela4[[#This Row],[Total Orçado
Ano]]-Tabela4[[#This Row],[Total Realizado
Ano]]</f>
        <v>-1416.44</v>
      </c>
    </row>
    <row r="15" spans="1:68" s="23" customFormat="1" ht="12" x14ac:dyDescent="0.2">
      <c r="A15" s="13">
        <v>2026</v>
      </c>
      <c r="B15" s="14" t="s">
        <v>92</v>
      </c>
      <c r="C15" s="14" t="s">
        <v>143</v>
      </c>
      <c r="D15" s="14" t="s">
        <v>93</v>
      </c>
      <c r="E15" s="14" t="s">
        <v>18</v>
      </c>
      <c r="F15" s="14" t="s">
        <v>188</v>
      </c>
      <c r="G15" s="14" t="s">
        <v>132</v>
      </c>
      <c r="H15" s="14" t="s">
        <v>131</v>
      </c>
      <c r="I15" s="14"/>
      <c r="J15" s="14" t="s">
        <v>86</v>
      </c>
      <c r="K15" s="14" t="s">
        <v>96</v>
      </c>
      <c r="L15" s="23" t="s">
        <v>90</v>
      </c>
      <c r="M15" s="2" t="s">
        <v>308</v>
      </c>
      <c r="N15" s="27">
        <v>103800</v>
      </c>
      <c r="O15" s="27">
        <v>50000</v>
      </c>
      <c r="P15" s="29">
        <f>Tabela4[[#This Row],[Realizado
Jan]]-Tabela4[[#This Row],[Orçado
Jan]]</f>
        <v>-53800</v>
      </c>
      <c r="Q15" s="38">
        <f t="shared" si="0"/>
        <v>-0.51830443159922923</v>
      </c>
      <c r="R15" s="27">
        <v>103800</v>
      </c>
      <c r="S15" s="27">
        <v>86401</v>
      </c>
      <c r="T15" s="29">
        <f>Tabela4[[#This Row],[Realizado
Fev]]-Tabela4[[#This Row],[Orçado
Fev]]</f>
        <v>-17399</v>
      </c>
      <c r="U15" s="38">
        <f t="shared" si="1"/>
        <v>-0.16762042389210019</v>
      </c>
      <c r="V15" s="27">
        <v>103800</v>
      </c>
      <c r="W15" s="27">
        <v>50000</v>
      </c>
      <c r="X15" s="29">
        <f>Tabela4[[#This Row],[Realizado
Mar]]-Tabela4[[#This Row],[Orçado
Mar]]</f>
        <v>-53800</v>
      </c>
      <c r="Y15" s="38">
        <f t="shared" si="2"/>
        <v>-0.51830443159922923</v>
      </c>
      <c r="Z15" s="27">
        <v>103800</v>
      </c>
      <c r="AA15" s="27">
        <v>0</v>
      </c>
      <c r="AB15" s="29">
        <f>Tabela4[[#This Row],[Realizado
Abr]]-Tabela4[[#This Row],[Orçado
Abr]]</f>
        <v>-103800</v>
      </c>
      <c r="AC15" s="38">
        <f t="shared" si="3"/>
        <v>-1</v>
      </c>
      <c r="AD15" s="27">
        <v>103800</v>
      </c>
      <c r="AE15" s="27">
        <v>0</v>
      </c>
      <c r="AF15" s="29">
        <f>Tabela4[[#This Row],[Realizado
Mai]]-Tabela4[[#This Row],[Orçado
Mai]]</f>
        <v>-103800</v>
      </c>
      <c r="AG15" s="38">
        <f t="shared" si="4"/>
        <v>-1</v>
      </c>
      <c r="AH15" s="27">
        <v>103800</v>
      </c>
      <c r="AI15" s="27">
        <v>0</v>
      </c>
      <c r="AJ15" s="29">
        <f>Tabela4[[#This Row],[Realizado
Jun]]-Tabela4[[#This Row],[Orçado
Jun]]</f>
        <v>-103800</v>
      </c>
      <c r="AK15" s="38">
        <f t="shared" si="5"/>
        <v>-1</v>
      </c>
      <c r="AL15" s="27">
        <v>144817.32999999999</v>
      </c>
      <c r="AM15" s="27">
        <v>0</v>
      </c>
      <c r="AN15" s="29">
        <f>Tabela4[[#This Row],[Realizado
Jul]]-Tabela4[[#This Row],[Orçado
Jul]]</f>
        <v>-144817.32999999999</v>
      </c>
      <c r="AO15" s="38">
        <f t="shared" si="6"/>
        <v>-1</v>
      </c>
      <c r="AP15" s="27">
        <v>144817.32999999999</v>
      </c>
      <c r="AQ15" s="27">
        <v>0</v>
      </c>
      <c r="AR15" s="29">
        <f>Tabela4[[#This Row],[Realizado
Ago]]-Tabela4[[#This Row],[Orçado
Ago]]</f>
        <v>-144817.32999999999</v>
      </c>
      <c r="AS15" s="38">
        <f t="shared" si="7"/>
        <v>-1</v>
      </c>
      <c r="AT15" s="27">
        <v>144817.32999999999</v>
      </c>
      <c r="AU15" s="27">
        <v>0</v>
      </c>
      <c r="AV15" s="29">
        <f>Tabela4[[#This Row],[Realizado
Set]]-Tabela4[[#This Row],[Orçado
Set]]</f>
        <v>-144817.32999999999</v>
      </c>
      <c r="AW15" s="38">
        <f t="shared" si="8"/>
        <v>-1</v>
      </c>
      <c r="AX15" s="27">
        <v>144817.32999999999</v>
      </c>
      <c r="AY15" s="27">
        <v>0</v>
      </c>
      <c r="AZ15" s="29">
        <f>Tabela4[[#This Row],[Realizado
Out]]-Tabela4[[#This Row],[Orçado
Out]]</f>
        <v>-144817.32999999999</v>
      </c>
      <c r="BA15" s="38">
        <f t="shared" si="9"/>
        <v>-1</v>
      </c>
      <c r="BB15" s="27">
        <v>144817.32999999999</v>
      </c>
      <c r="BC15" s="27">
        <v>0</v>
      </c>
      <c r="BD15" s="29">
        <f>Tabela4[[#This Row],[Realizado
Nov]]-Tabela4[[#This Row],[Orçado
Nov]]</f>
        <v>-144817.32999999999</v>
      </c>
      <c r="BE15" s="38">
        <f t="shared" si="10"/>
        <v>-1</v>
      </c>
      <c r="BF15" s="27">
        <v>144817.32999999999</v>
      </c>
      <c r="BG15" s="56">
        <v>0</v>
      </c>
      <c r="BH15" s="29">
        <f>Tabela4[[#This Row],[Realizado
Dez]]-Tabela4[[#This Row],[Orçado
Dez]]</f>
        <v>-144817.32999999999</v>
      </c>
      <c r="BI15" s="38">
        <f t="shared" si="11"/>
        <v>-1</v>
      </c>
      <c r="BJ15" s="29">
        <f t="shared" si="12"/>
        <v>1491703.98</v>
      </c>
      <c r="BK15" s="29">
        <f t="shared" si="13"/>
        <v>186401</v>
      </c>
      <c r="BL15" s="34">
        <f t="shared" si="14"/>
        <v>-1359102.98</v>
      </c>
      <c r="BM15" s="42">
        <f t="shared" si="15"/>
        <v>-0.87504156153019041</v>
      </c>
      <c r="BN15" s="27">
        <f>Tabela4[[#This Row],[Total Orçado
Ano]]-Tabela4[[#This Row],[Total Realizado
Ano]]</f>
        <v>1305302.98</v>
      </c>
      <c r="BO15" s="36">
        <f>Tabela4[[#This Row],[Total Orçado
Ano]]-Tabela4[[#This Row],[Total Realizado
Ano]]</f>
        <v>1305302.98</v>
      </c>
    </row>
    <row r="16" spans="1:68" s="23" customFormat="1" ht="12" x14ac:dyDescent="0.2">
      <c r="A16" s="13">
        <v>2026</v>
      </c>
      <c r="B16" s="14" t="s">
        <v>92</v>
      </c>
      <c r="C16" s="14" t="s">
        <v>139</v>
      </c>
      <c r="D16" s="14" t="s">
        <v>93</v>
      </c>
      <c r="E16" s="14" t="s">
        <v>2</v>
      </c>
      <c r="F16" s="14" t="s">
        <v>134</v>
      </c>
      <c r="G16" s="14"/>
      <c r="H16" s="14" t="s">
        <v>131</v>
      </c>
      <c r="I16" s="14"/>
      <c r="J16" s="14" t="s">
        <v>86</v>
      </c>
      <c r="K16" s="14" t="s">
        <v>96</v>
      </c>
      <c r="L16" s="23" t="s">
        <v>87</v>
      </c>
      <c r="M16" s="14" t="s">
        <v>274</v>
      </c>
      <c r="N16" s="27">
        <v>0</v>
      </c>
      <c r="O16" s="27">
        <v>0</v>
      </c>
      <c r="P16" s="29">
        <f>Tabela4[[#This Row],[Realizado
Jan]]-Tabela4[[#This Row],[Orçado
Jan]]</f>
        <v>0</v>
      </c>
      <c r="Q16" s="38" t="str">
        <f t="shared" si="0"/>
        <v>-</v>
      </c>
      <c r="R16" s="27">
        <v>0</v>
      </c>
      <c r="S16" s="27">
        <v>0</v>
      </c>
      <c r="T16" s="29">
        <f>Tabela4[[#This Row],[Realizado
Fev]]-Tabela4[[#This Row],[Orçado
Fev]]</f>
        <v>0</v>
      </c>
      <c r="U16" s="38" t="str">
        <f t="shared" si="1"/>
        <v>-</v>
      </c>
      <c r="V16" s="27">
        <v>0</v>
      </c>
      <c r="W16" s="27">
        <v>0</v>
      </c>
      <c r="X16" s="29">
        <f>Tabela4[[#This Row],[Realizado
Mar]]-Tabela4[[#This Row],[Orçado
Mar]]</f>
        <v>0</v>
      </c>
      <c r="Y16" s="38" t="str">
        <f t="shared" si="2"/>
        <v>-</v>
      </c>
      <c r="Z16" s="27">
        <v>0</v>
      </c>
      <c r="AA16" s="27">
        <v>0</v>
      </c>
      <c r="AB16" s="29">
        <f>Tabela4[[#This Row],[Realizado
Abr]]-Tabela4[[#This Row],[Orçado
Abr]]</f>
        <v>0</v>
      </c>
      <c r="AC16" s="38" t="str">
        <f t="shared" si="3"/>
        <v>-</v>
      </c>
      <c r="AD16" s="27">
        <v>0</v>
      </c>
      <c r="AE16" s="27">
        <v>0</v>
      </c>
      <c r="AF16" s="29">
        <f>Tabela4[[#This Row],[Realizado
Mai]]-Tabela4[[#This Row],[Orçado
Mai]]</f>
        <v>0</v>
      </c>
      <c r="AG16" s="38" t="str">
        <f t="shared" si="4"/>
        <v>-</v>
      </c>
      <c r="AH16" s="27">
        <v>0</v>
      </c>
      <c r="AI16" s="27">
        <v>0</v>
      </c>
      <c r="AJ16" s="29">
        <f>Tabela4[[#This Row],[Realizado
Jun]]-Tabela4[[#This Row],[Orçado
Jun]]</f>
        <v>0</v>
      </c>
      <c r="AK16" s="38" t="str">
        <f t="shared" si="5"/>
        <v>-</v>
      </c>
      <c r="AL16" s="27">
        <v>0</v>
      </c>
      <c r="AM16" s="27">
        <v>0</v>
      </c>
      <c r="AN16" s="29">
        <f>Tabela4[[#This Row],[Realizado
Jul]]-Tabela4[[#This Row],[Orçado
Jul]]</f>
        <v>0</v>
      </c>
      <c r="AO16" s="38" t="str">
        <f t="shared" si="6"/>
        <v>-</v>
      </c>
      <c r="AP16" s="27">
        <v>0</v>
      </c>
      <c r="AQ16" s="27">
        <v>0</v>
      </c>
      <c r="AR16" s="29">
        <f>Tabela4[[#This Row],[Realizado
Ago]]-Tabela4[[#This Row],[Orçado
Ago]]</f>
        <v>0</v>
      </c>
      <c r="AS16" s="38" t="str">
        <f t="shared" si="7"/>
        <v>-</v>
      </c>
      <c r="AT16" s="27">
        <v>0</v>
      </c>
      <c r="AU16" s="27">
        <v>0</v>
      </c>
      <c r="AV16" s="29">
        <f>Tabela4[[#This Row],[Realizado
Set]]-Tabela4[[#This Row],[Orçado
Set]]</f>
        <v>0</v>
      </c>
      <c r="AW16" s="38" t="str">
        <f t="shared" si="8"/>
        <v>-</v>
      </c>
      <c r="AX16" s="27">
        <v>0</v>
      </c>
      <c r="AY16" s="27">
        <v>0</v>
      </c>
      <c r="AZ16" s="29">
        <f>Tabela4[[#This Row],[Realizado
Out]]-Tabela4[[#This Row],[Orçado
Out]]</f>
        <v>0</v>
      </c>
      <c r="BA16" s="38" t="str">
        <f t="shared" si="9"/>
        <v>-</v>
      </c>
      <c r="BB16" s="27">
        <v>0</v>
      </c>
      <c r="BC16" s="27">
        <v>0</v>
      </c>
      <c r="BD16" s="29">
        <f>Tabela4[[#This Row],[Realizado
Nov]]-Tabela4[[#This Row],[Orçado
Nov]]</f>
        <v>0</v>
      </c>
      <c r="BE16" s="38" t="str">
        <f t="shared" si="10"/>
        <v>-</v>
      </c>
      <c r="BF16" s="27">
        <v>0</v>
      </c>
      <c r="BG16" s="56">
        <v>0</v>
      </c>
      <c r="BH16" s="29">
        <f>Tabela4[[#This Row],[Realizado
Dez]]-Tabela4[[#This Row],[Orçado
Dez]]</f>
        <v>0</v>
      </c>
      <c r="BI16" s="38" t="str">
        <f t="shared" si="11"/>
        <v>-</v>
      </c>
      <c r="BJ16" s="29">
        <f t="shared" si="12"/>
        <v>0</v>
      </c>
      <c r="BK16" s="29">
        <f t="shared" si="13"/>
        <v>0</v>
      </c>
      <c r="BL16" s="34">
        <f t="shared" si="14"/>
        <v>0</v>
      </c>
      <c r="BM16" s="42" t="str">
        <f t="shared" si="15"/>
        <v>-</v>
      </c>
      <c r="BN16" s="27">
        <f>Tabela4[[#This Row],[Total Orçado
Ano]]-Tabela4[[#This Row],[Total Realizado
Ano]]</f>
        <v>0</v>
      </c>
      <c r="BO16" s="36">
        <f>Tabela4[[#This Row],[Total Orçado
Ano]]-Tabela4[[#This Row],[Total Realizado
Ano]]</f>
        <v>0</v>
      </c>
    </row>
    <row r="17" spans="1:67" s="23" customFormat="1" ht="12" x14ac:dyDescent="0.2">
      <c r="A17" s="13">
        <v>2026</v>
      </c>
      <c r="B17" s="14" t="s">
        <v>92</v>
      </c>
      <c r="C17" s="14" t="s">
        <v>139</v>
      </c>
      <c r="D17" s="14" t="s">
        <v>93</v>
      </c>
      <c r="E17" s="14" t="s">
        <v>2</v>
      </c>
      <c r="F17" s="14" t="s">
        <v>228</v>
      </c>
      <c r="G17" s="14"/>
      <c r="H17" s="14" t="s">
        <v>131</v>
      </c>
      <c r="I17" s="14"/>
      <c r="J17" s="14" t="s">
        <v>86</v>
      </c>
      <c r="K17" s="14" t="s">
        <v>96</v>
      </c>
      <c r="L17" s="23" t="s">
        <v>87</v>
      </c>
      <c r="M17" s="14" t="s">
        <v>274</v>
      </c>
      <c r="N17" s="27">
        <v>0</v>
      </c>
      <c r="O17" s="27">
        <v>0</v>
      </c>
      <c r="P17" s="29">
        <f>Tabela4[[#This Row],[Realizado
Jan]]-Tabela4[[#This Row],[Orçado
Jan]]</f>
        <v>0</v>
      </c>
      <c r="Q17" s="38" t="str">
        <f t="shared" si="0"/>
        <v>-</v>
      </c>
      <c r="R17" s="27">
        <v>0</v>
      </c>
      <c r="S17" s="27">
        <v>0</v>
      </c>
      <c r="T17" s="29">
        <f>Tabela4[[#This Row],[Realizado
Fev]]-Tabela4[[#This Row],[Orçado
Fev]]</f>
        <v>0</v>
      </c>
      <c r="U17" s="38" t="str">
        <f t="shared" si="1"/>
        <v>-</v>
      </c>
      <c r="V17" s="27">
        <v>0</v>
      </c>
      <c r="W17" s="27">
        <v>0</v>
      </c>
      <c r="X17" s="29">
        <f>Tabela4[[#This Row],[Realizado
Mar]]-Tabela4[[#This Row],[Orçado
Mar]]</f>
        <v>0</v>
      </c>
      <c r="Y17" s="38" t="str">
        <f t="shared" si="2"/>
        <v>-</v>
      </c>
      <c r="Z17" s="27">
        <v>0</v>
      </c>
      <c r="AA17" s="27">
        <v>0</v>
      </c>
      <c r="AB17" s="29">
        <f>Tabela4[[#This Row],[Realizado
Abr]]-Tabela4[[#This Row],[Orçado
Abr]]</f>
        <v>0</v>
      </c>
      <c r="AC17" s="38" t="str">
        <f t="shared" si="3"/>
        <v>-</v>
      </c>
      <c r="AD17" s="27">
        <v>0</v>
      </c>
      <c r="AE17" s="27">
        <v>0</v>
      </c>
      <c r="AF17" s="29">
        <f>Tabela4[[#This Row],[Realizado
Mai]]-Tabela4[[#This Row],[Orçado
Mai]]</f>
        <v>0</v>
      </c>
      <c r="AG17" s="38" t="str">
        <f t="shared" si="4"/>
        <v>-</v>
      </c>
      <c r="AH17" s="27">
        <v>0</v>
      </c>
      <c r="AI17" s="27">
        <v>0</v>
      </c>
      <c r="AJ17" s="29">
        <f>Tabela4[[#This Row],[Realizado
Jun]]-Tabela4[[#This Row],[Orçado
Jun]]</f>
        <v>0</v>
      </c>
      <c r="AK17" s="38" t="str">
        <f t="shared" si="5"/>
        <v>-</v>
      </c>
      <c r="AL17" s="27">
        <v>0</v>
      </c>
      <c r="AM17" s="27">
        <v>0</v>
      </c>
      <c r="AN17" s="29">
        <f>Tabela4[[#This Row],[Realizado
Jul]]-Tabela4[[#This Row],[Orçado
Jul]]</f>
        <v>0</v>
      </c>
      <c r="AO17" s="38" t="str">
        <f t="shared" si="6"/>
        <v>-</v>
      </c>
      <c r="AP17" s="27">
        <v>0</v>
      </c>
      <c r="AQ17" s="27"/>
      <c r="AR17" s="29">
        <f>Tabela4[[#This Row],[Realizado
Ago]]-Tabela4[[#This Row],[Orçado
Ago]]</f>
        <v>0</v>
      </c>
      <c r="AS17" s="38" t="str">
        <f t="shared" si="7"/>
        <v>-</v>
      </c>
      <c r="AT17" s="27">
        <v>0</v>
      </c>
      <c r="AU17" s="27">
        <v>0</v>
      </c>
      <c r="AV17" s="29">
        <f>Tabela4[[#This Row],[Realizado
Set]]-Tabela4[[#This Row],[Orçado
Set]]</f>
        <v>0</v>
      </c>
      <c r="AW17" s="38" t="str">
        <f t="shared" si="8"/>
        <v>-</v>
      </c>
      <c r="AX17" s="27">
        <v>0</v>
      </c>
      <c r="AY17" s="27">
        <v>0</v>
      </c>
      <c r="AZ17" s="29">
        <f>Tabela4[[#This Row],[Realizado
Out]]-Tabela4[[#This Row],[Orçado
Out]]</f>
        <v>0</v>
      </c>
      <c r="BA17" s="38" t="str">
        <f t="shared" si="9"/>
        <v>-</v>
      </c>
      <c r="BB17" s="27">
        <v>0</v>
      </c>
      <c r="BC17" s="27">
        <v>0</v>
      </c>
      <c r="BD17" s="29">
        <f>Tabela4[[#This Row],[Realizado
Nov]]-Tabela4[[#This Row],[Orçado
Nov]]</f>
        <v>0</v>
      </c>
      <c r="BE17" s="38" t="str">
        <f t="shared" si="10"/>
        <v>-</v>
      </c>
      <c r="BF17" s="27">
        <v>0</v>
      </c>
      <c r="BG17" s="56">
        <v>0</v>
      </c>
      <c r="BH17" s="29">
        <f>Tabela4[[#This Row],[Realizado
Dez]]-Tabela4[[#This Row],[Orçado
Dez]]</f>
        <v>0</v>
      </c>
      <c r="BI17" s="38" t="str">
        <f t="shared" si="11"/>
        <v>-</v>
      </c>
      <c r="BJ17" s="29">
        <f t="shared" si="12"/>
        <v>0</v>
      </c>
      <c r="BK17" s="29">
        <f t="shared" si="13"/>
        <v>0</v>
      </c>
      <c r="BL17" s="34">
        <f t="shared" si="14"/>
        <v>0</v>
      </c>
      <c r="BM17" s="42" t="str">
        <f t="shared" si="15"/>
        <v>-</v>
      </c>
      <c r="BN17" s="27">
        <f>Tabela4[[#This Row],[Total Orçado
Ano]]-Tabela4[[#This Row],[Total Realizado
Ano]]</f>
        <v>0</v>
      </c>
      <c r="BO17" s="36">
        <f>Tabela4[[#This Row],[Total Orçado
Ano]]-Tabela4[[#This Row],[Total Realizado
Ano]]</f>
        <v>0</v>
      </c>
    </row>
    <row r="18" spans="1:67" s="23" customFormat="1" ht="12" x14ac:dyDescent="0.2">
      <c r="A18" s="13">
        <v>2026</v>
      </c>
      <c r="B18" s="14" t="s">
        <v>92</v>
      </c>
      <c r="C18" s="14" t="s">
        <v>139</v>
      </c>
      <c r="D18" s="14" t="s">
        <v>93</v>
      </c>
      <c r="E18" s="14" t="s">
        <v>2</v>
      </c>
      <c r="F18" s="14" t="s">
        <v>243</v>
      </c>
      <c r="G18" s="14"/>
      <c r="H18" s="14" t="s">
        <v>131</v>
      </c>
      <c r="I18" s="14"/>
      <c r="J18" s="14" t="s">
        <v>86</v>
      </c>
      <c r="K18" s="14" t="s">
        <v>96</v>
      </c>
      <c r="L18" s="23" t="s">
        <v>87</v>
      </c>
      <c r="M18" s="14" t="s">
        <v>275</v>
      </c>
      <c r="N18" s="27">
        <v>0</v>
      </c>
      <c r="O18" s="27">
        <v>0</v>
      </c>
      <c r="P18" s="29">
        <f>Tabela4[[#This Row],[Realizado
Jan]]-Tabela4[[#This Row],[Orçado
Jan]]</f>
        <v>0</v>
      </c>
      <c r="Q18" s="38" t="str">
        <f t="shared" si="0"/>
        <v>-</v>
      </c>
      <c r="R18" s="27">
        <v>0</v>
      </c>
      <c r="S18" s="27">
        <v>0</v>
      </c>
      <c r="T18" s="29">
        <f>Tabela4[[#This Row],[Realizado
Fev]]-Tabela4[[#This Row],[Orçado
Fev]]</f>
        <v>0</v>
      </c>
      <c r="U18" s="38" t="str">
        <f t="shared" si="1"/>
        <v>-</v>
      </c>
      <c r="V18" s="27">
        <v>0</v>
      </c>
      <c r="W18" s="27">
        <v>0</v>
      </c>
      <c r="X18" s="29">
        <f>Tabela4[[#This Row],[Realizado
Mar]]-Tabela4[[#This Row],[Orçado
Mar]]</f>
        <v>0</v>
      </c>
      <c r="Y18" s="38" t="str">
        <f t="shared" si="2"/>
        <v>-</v>
      </c>
      <c r="Z18" s="27">
        <v>0</v>
      </c>
      <c r="AA18" s="27">
        <v>0</v>
      </c>
      <c r="AB18" s="29">
        <f>Tabela4[[#This Row],[Realizado
Abr]]-Tabela4[[#This Row],[Orçado
Abr]]</f>
        <v>0</v>
      </c>
      <c r="AC18" s="38" t="str">
        <f t="shared" si="3"/>
        <v>-</v>
      </c>
      <c r="AD18" s="27">
        <v>0</v>
      </c>
      <c r="AE18" s="27">
        <v>0</v>
      </c>
      <c r="AF18" s="29">
        <f>Tabela4[[#This Row],[Realizado
Mai]]-Tabela4[[#This Row],[Orçado
Mai]]</f>
        <v>0</v>
      </c>
      <c r="AG18" s="38" t="str">
        <f t="shared" si="4"/>
        <v>-</v>
      </c>
      <c r="AH18" s="27">
        <v>0</v>
      </c>
      <c r="AI18" s="27">
        <v>0</v>
      </c>
      <c r="AJ18" s="29">
        <f>Tabela4[[#This Row],[Realizado
Jun]]-Tabela4[[#This Row],[Orçado
Jun]]</f>
        <v>0</v>
      </c>
      <c r="AK18" s="38" t="str">
        <f t="shared" si="5"/>
        <v>-</v>
      </c>
      <c r="AL18" s="27">
        <v>0</v>
      </c>
      <c r="AM18" s="27">
        <v>0</v>
      </c>
      <c r="AN18" s="29">
        <f>Tabela4[[#This Row],[Realizado
Jul]]-Tabela4[[#This Row],[Orçado
Jul]]</f>
        <v>0</v>
      </c>
      <c r="AO18" s="38" t="str">
        <f t="shared" si="6"/>
        <v>-</v>
      </c>
      <c r="AP18" s="27">
        <v>0</v>
      </c>
      <c r="AQ18" s="27">
        <v>0</v>
      </c>
      <c r="AR18" s="29">
        <f>Tabela4[[#This Row],[Realizado
Ago]]-Tabela4[[#This Row],[Orçado
Ago]]</f>
        <v>0</v>
      </c>
      <c r="AS18" s="38" t="str">
        <f t="shared" si="7"/>
        <v>-</v>
      </c>
      <c r="AT18" s="27">
        <v>0</v>
      </c>
      <c r="AU18" s="27">
        <v>0</v>
      </c>
      <c r="AV18" s="29">
        <f>Tabela4[[#This Row],[Realizado
Set]]-Tabela4[[#This Row],[Orçado
Set]]</f>
        <v>0</v>
      </c>
      <c r="AW18" s="38" t="str">
        <f t="shared" si="8"/>
        <v>-</v>
      </c>
      <c r="AX18" s="27">
        <v>0</v>
      </c>
      <c r="AY18" s="27">
        <v>0</v>
      </c>
      <c r="AZ18" s="29">
        <f>Tabela4[[#This Row],[Realizado
Out]]-Tabela4[[#This Row],[Orçado
Out]]</f>
        <v>0</v>
      </c>
      <c r="BA18" s="38" t="str">
        <f t="shared" si="9"/>
        <v>-</v>
      </c>
      <c r="BB18" s="27">
        <v>0</v>
      </c>
      <c r="BC18" s="27">
        <v>0</v>
      </c>
      <c r="BD18" s="29">
        <f>Tabela4[[#This Row],[Realizado
Nov]]-Tabela4[[#This Row],[Orçado
Nov]]</f>
        <v>0</v>
      </c>
      <c r="BE18" s="38" t="str">
        <f t="shared" si="10"/>
        <v>-</v>
      </c>
      <c r="BF18" s="27">
        <v>0</v>
      </c>
      <c r="BG18" s="56">
        <v>0</v>
      </c>
      <c r="BH18" s="29">
        <f>Tabela4[[#This Row],[Realizado
Dez]]-Tabela4[[#This Row],[Orçado
Dez]]</f>
        <v>0</v>
      </c>
      <c r="BI18" s="38" t="str">
        <f t="shared" si="11"/>
        <v>-</v>
      </c>
      <c r="BJ18" s="29">
        <f t="shared" si="12"/>
        <v>0</v>
      </c>
      <c r="BK18" s="29">
        <f t="shared" si="13"/>
        <v>0</v>
      </c>
      <c r="BL18" s="34">
        <f t="shared" si="14"/>
        <v>0</v>
      </c>
      <c r="BM18" s="42" t="str">
        <f t="shared" si="15"/>
        <v>-</v>
      </c>
      <c r="BN18" s="27">
        <f>Tabela4[[#This Row],[Total Orçado
Ano]]-Tabela4[[#This Row],[Total Realizado
Ano]]</f>
        <v>0</v>
      </c>
      <c r="BO18" s="36">
        <f>Tabela4[[#This Row],[Total Orçado
Ano]]-Tabela4[[#This Row],[Total Realizado
Ano]]</f>
        <v>0</v>
      </c>
    </row>
    <row r="19" spans="1:67" s="23" customFormat="1" ht="12" x14ac:dyDescent="0.2">
      <c r="A19" s="13">
        <v>2026</v>
      </c>
      <c r="B19" s="14" t="s">
        <v>92</v>
      </c>
      <c r="C19" s="14" t="s">
        <v>143</v>
      </c>
      <c r="D19" s="14" t="s">
        <v>93</v>
      </c>
      <c r="E19" s="14" t="s">
        <v>18</v>
      </c>
      <c r="F19" s="14" t="s">
        <v>255</v>
      </c>
      <c r="G19" s="14"/>
      <c r="H19" s="14" t="s">
        <v>131</v>
      </c>
      <c r="I19" s="14"/>
      <c r="J19" s="14" t="s">
        <v>86</v>
      </c>
      <c r="K19" s="14" t="s">
        <v>273</v>
      </c>
      <c r="L19" s="23" t="s">
        <v>87</v>
      </c>
      <c r="M19" s="14" t="s">
        <v>275</v>
      </c>
      <c r="N19" s="27">
        <v>0</v>
      </c>
      <c r="O19" s="27"/>
      <c r="P19" s="29">
        <f>Tabela4[[#This Row],[Realizado
Jan]]-Tabela4[[#This Row],[Orçado
Jan]]</f>
        <v>0</v>
      </c>
      <c r="Q19" s="38" t="str">
        <f t="shared" si="0"/>
        <v>-</v>
      </c>
      <c r="R19" s="27">
        <v>0</v>
      </c>
      <c r="S19" s="27"/>
      <c r="T19" s="29"/>
      <c r="U19" s="38" t="str">
        <f t="shared" si="1"/>
        <v>-</v>
      </c>
      <c r="V19" s="27">
        <v>52800</v>
      </c>
      <c r="W19" s="27">
        <v>0</v>
      </c>
      <c r="X19" s="29">
        <f>Tabela4[[#This Row],[Realizado
Mar]]-Tabela4[[#This Row],[Orçado
Mar]]</f>
        <v>-52800</v>
      </c>
      <c r="Y19" s="38">
        <f t="shared" si="2"/>
        <v>-1</v>
      </c>
      <c r="Z19" s="27">
        <v>52800</v>
      </c>
      <c r="AA19" s="27"/>
      <c r="AB19" s="29">
        <f>Tabela4[[#This Row],[Realizado
Abr]]-Tabela4[[#This Row],[Orçado
Abr]]</f>
        <v>-52800</v>
      </c>
      <c r="AC19" s="38">
        <f t="shared" si="3"/>
        <v>-1</v>
      </c>
      <c r="AD19" s="27">
        <v>52800</v>
      </c>
      <c r="AE19" s="27"/>
      <c r="AF19" s="29">
        <f>Tabela4[[#This Row],[Realizado
Mai]]-Tabela4[[#This Row],[Orçado
Mai]]</f>
        <v>-52800</v>
      </c>
      <c r="AG19" s="38">
        <f t="shared" si="4"/>
        <v>-1</v>
      </c>
      <c r="AH19" s="27">
        <v>52800</v>
      </c>
      <c r="AI19" s="27"/>
      <c r="AJ19" s="29">
        <f>Tabela4[[#This Row],[Realizado
Jun]]-Tabela4[[#This Row],[Orçado
Jun]]</f>
        <v>-52800</v>
      </c>
      <c r="AK19" s="38">
        <f t="shared" si="5"/>
        <v>-1</v>
      </c>
      <c r="AL19" s="27">
        <v>52800</v>
      </c>
      <c r="AM19" s="27"/>
      <c r="AN19" s="29">
        <f>Tabela4[[#This Row],[Realizado
Jul]]-Tabela4[[#This Row],[Orçado
Jul]]</f>
        <v>-52800</v>
      </c>
      <c r="AO19" s="38">
        <f t="shared" si="6"/>
        <v>-1</v>
      </c>
      <c r="AP19" s="27"/>
      <c r="AQ19" s="27"/>
      <c r="AR19" s="29">
        <f>Tabela4[[#This Row],[Realizado
Ago]]-Tabela4[[#This Row],[Orçado
Ago]]</f>
        <v>0</v>
      </c>
      <c r="AS19" s="38" t="str">
        <f t="shared" si="7"/>
        <v>-</v>
      </c>
      <c r="AT19" s="27"/>
      <c r="AU19" s="27"/>
      <c r="AV19" s="29">
        <f>Tabela4[[#This Row],[Realizado
Set]]-Tabela4[[#This Row],[Orçado
Set]]</f>
        <v>0</v>
      </c>
      <c r="AW19" s="38" t="str">
        <f t="shared" si="8"/>
        <v>-</v>
      </c>
      <c r="AX19" s="27"/>
      <c r="AY19" s="27"/>
      <c r="AZ19" s="29">
        <f>Tabela4[[#This Row],[Realizado
Out]]-Tabela4[[#This Row],[Orçado
Out]]</f>
        <v>0</v>
      </c>
      <c r="BA19" s="38" t="str">
        <f t="shared" si="9"/>
        <v>-</v>
      </c>
      <c r="BB19" s="27"/>
      <c r="BC19" s="27"/>
      <c r="BD19" s="29">
        <f>Tabela4[[#This Row],[Realizado
Nov]]-Tabela4[[#This Row],[Orçado
Nov]]</f>
        <v>0</v>
      </c>
      <c r="BE19" s="38" t="str">
        <f t="shared" si="10"/>
        <v>-</v>
      </c>
      <c r="BF19" s="27"/>
      <c r="BG19" s="56"/>
      <c r="BH19" s="29">
        <f>Tabela4[[#This Row],[Realizado
Dez]]-Tabela4[[#This Row],[Orçado
Dez]]</f>
        <v>0</v>
      </c>
      <c r="BI19" s="38" t="str">
        <f t="shared" si="11"/>
        <v>-</v>
      </c>
      <c r="BJ19" s="29">
        <f t="shared" si="12"/>
        <v>264000</v>
      </c>
      <c r="BK19" s="29">
        <f t="shared" si="13"/>
        <v>0</v>
      </c>
      <c r="BL19" s="34">
        <f t="shared" si="14"/>
        <v>-316800</v>
      </c>
      <c r="BM19" s="42">
        <f t="shared" si="15"/>
        <v>-1</v>
      </c>
      <c r="BN19" s="27">
        <f>Tabela4[[#This Row],[Total Orçado
Ano]]-Tabela4[[#This Row],[Total Realizado
Ano]]</f>
        <v>264000</v>
      </c>
      <c r="BO19" s="36">
        <f>Tabela4[[#This Row],[Total Orçado
Ano]]-Tabela4[[#This Row],[Total Realizado
Ano]]</f>
        <v>264000</v>
      </c>
    </row>
    <row r="20" spans="1:67" s="23" customFormat="1" ht="12" x14ac:dyDescent="0.2">
      <c r="A20" s="25">
        <v>2026</v>
      </c>
      <c r="B20" s="14" t="s">
        <v>92</v>
      </c>
      <c r="C20" s="14" t="s">
        <v>139</v>
      </c>
      <c r="D20" s="23" t="s">
        <v>93</v>
      </c>
      <c r="E20" s="23" t="s">
        <v>2</v>
      </c>
      <c r="F20" s="23" t="s">
        <v>236</v>
      </c>
      <c r="H20" s="23" t="s">
        <v>138</v>
      </c>
      <c r="J20" s="23" t="s">
        <v>86</v>
      </c>
      <c r="K20" s="23" t="s">
        <v>96</v>
      </c>
      <c r="L20" s="23" t="s">
        <v>90</v>
      </c>
      <c r="M20" s="23" t="s">
        <v>276</v>
      </c>
      <c r="N20" s="28">
        <v>0</v>
      </c>
      <c r="O20" s="28">
        <v>271.8</v>
      </c>
      <c r="P20" s="30">
        <f>Tabela4[[#This Row],[Realizado
Jan]]-Tabela4[[#This Row],[Orçado
Jan]]</f>
        <v>271.8</v>
      </c>
      <c r="Q20" s="39" t="str">
        <f t="shared" si="0"/>
        <v>-</v>
      </c>
      <c r="R20" s="28">
        <v>0</v>
      </c>
      <c r="S20" s="28">
        <v>0</v>
      </c>
      <c r="T20" s="30">
        <f>Tabela4[[#This Row],[Realizado
Fev]]-Tabela4[[#This Row],[Orçado
Fev]]</f>
        <v>0</v>
      </c>
      <c r="U20" s="39" t="str">
        <f t="shared" si="1"/>
        <v>-</v>
      </c>
      <c r="V20" s="28">
        <v>0</v>
      </c>
      <c r="W20" s="28">
        <v>52.28</v>
      </c>
      <c r="X20" s="30">
        <f>Tabela4[[#This Row],[Realizado
Mar]]-Tabela4[[#This Row],[Orçado
Mar]]</f>
        <v>52.28</v>
      </c>
      <c r="Y20" s="39" t="str">
        <f t="shared" si="2"/>
        <v>-</v>
      </c>
      <c r="Z20" s="28">
        <v>0</v>
      </c>
      <c r="AA20" s="28">
        <v>0</v>
      </c>
      <c r="AB20" s="30">
        <f>Tabela4[[#This Row],[Realizado
Abr]]-Tabela4[[#This Row],[Orçado
Abr]]</f>
        <v>0</v>
      </c>
      <c r="AC20" s="39" t="str">
        <f t="shared" si="3"/>
        <v>-</v>
      </c>
      <c r="AD20" s="28">
        <v>5000</v>
      </c>
      <c r="AE20" s="28">
        <v>0</v>
      </c>
      <c r="AF20" s="30">
        <f>Tabela4[[#This Row],[Realizado
Mai]]-Tabela4[[#This Row],[Orçado
Mai]]</f>
        <v>-5000</v>
      </c>
      <c r="AG20" s="38">
        <f t="shared" si="4"/>
        <v>-1</v>
      </c>
      <c r="AH20" s="28">
        <v>0</v>
      </c>
      <c r="AI20" s="28">
        <v>0</v>
      </c>
      <c r="AJ20" s="30">
        <f>Tabela4[[#This Row],[Realizado
Jun]]-Tabela4[[#This Row],[Orçado
Jun]]</f>
        <v>0</v>
      </c>
      <c r="AK20" s="38" t="str">
        <f t="shared" si="5"/>
        <v>-</v>
      </c>
      <c r="AL20" s="28">
        <v>0</v>
      </c>
      <c r="AM20" s="28">
        <v>0</v>
      </c>
      <c r="AN20" s="30">
        <f>Tabela4[[#This Row],[Realizado
Jul]]-Tabela4[[#This Row],[Orçado
Jul]]</f>
        <v>0</v>
      </c>
      <c r="AO20" s="38" t="str">
        <f t="shared" si="6"/>
        <v>-</v>
      </c>
      <c r="AP20" s="28">
        <v>0</v>
      </c>
      <c r="AQ20" s="28">
        <v>0</v>
      </c>
      <c r="AR20" s="29">
        <f>Tabela4[[#This Row],[Realizado
Ago]]-Tabela4[[#This Row],[Orçado
Ago]]</f>
        <v>0</v>
      </c>
      <c r="AS20" s="38" t="str">
        <f t="shared" si="7"/>
        <v>-</v>
      </c>
      <c r="AT20" s="28">
        <v>0</v>
      </c>
      <c r="AU20" s="28">
        <v>0</v>
      </c>
      <c r="AV20" s="29">
        <f>Tabela4[[#This Row],[Realizado
Set]]-Tabela4[[#This Row],[Orçado
Set]]</f>
        <v>0</v>
      </c>
      <c r="AW20" s="38" t="str">
        <f t="shared" si="8"/>
        <v>-</v>
      </c>
      <c r="AX20" s="28">
        <v>5000</v>
      </c>
      <c r="AY20" s="28">
        <v>0</v>
      </c>
      <c r="AZ20" s="29">
        <f>Tabela4[[#This Row],[Realizado
Out]]-Tabela4[[#This Row],[Orçado
Out]]</f>
        <v>-5000</v>
      </c>
      <c r="BA20" s="38">
        <f t="shared" si="9"/>
        <v>-1</v>
      </c>
      <c r="BB20" s="28">
        <v>0</v>
      </c>
      <c r="BC20" s="28">
        <v>0</v>
      </c>
      <c r="BD20" s="29">
        <f>Tabela4[[#This Row],[Realizado
Nov]]-Tabela4[[#This Row],[Orçado
Nov]]</f>
        <v>0</v>
      </c>
      <c r="BE20" s="38" t="str">
        <f t="shared" si="10"/>
        <v>-</v>
      </c>
      <c r="BF20" s="28">
        <v>0</v>
      </c>
      <c r="BG20" s="57">
        <v>0</v>
      </c>
      <c r="BH20" s="29">
        <f>Tabela4[[#This Row],[Realizado
Dez]]-Tabela4[[#This Row],[Orçado
Dez]]</f>
        <v>0</v>
      </c>
      <c r="BI20" s="38" t="str">
        <f t="shared" si="11"/>
        <v>-</v>
      </c>
      <c r="BJ20" s="29">
        <f t="shared" si="12"/>
        <v>10000</v>
      </c>
      <c r="BK20" s="29">
        <f t="shared" si="13"/>
        <v>324.08000000000004</v>
      </c>
      <c r="BL20" s="34">
        <f t="shared" si="14"/>
        <v>-9623.64</v>
      </c>
      <c r="BM20" s="42">
        <f t="shared" si="15"/>
        <v>-0.96759200000000001</v>
      </c>
      <c r="BN20" s="36">
        <f>Tabela4[[#This Row],[Total Orçado
Ano]]-Tabela4[[#This Row],[Total Realizado
Ano]]</f>
        <v>9675.92</v>
      </c>
      <c r="BO20" s="36">
        <f>Tabela4[[#This Row],[Total Orçado
Ano]]-Tabela4[[#This Row],[Total Realizado
Ano]]</f>
        <v>9675.92</v>
      </c>
    </row>
    <row r="21" spans="1:67" s="23" customFormat="1" ht="12" x14ac:dyDescent="0.2">
      <c r="A21" s="25">
        <v>2026</v>
      </c>
      <c r="B21" s="14" t="s">
        <v>92</v>
      </c>
      <c r="C21" s="14" t="s">
        <v>139</v>
      </c>
      <c r="D21" s="23" t="s">
        <v>93</v>
      </c>
      <c r="E21" s="23" t="s">
        <v>2</v>
      </c>
      <c r="F21" s="23" t="s">
        <v>229</v>
      </c>
      <c r="H21" s="23" t="s">
        <v>120</v>
      </c>
      <c r="J21" s="23" t="s">
        <v>86</v>
      </c>
      <c r="K21" s="23" t="s">
        <v>96</v>
      </c>
      <c r="L21" s="23" t="s">
        <v>90</v>
      </c>
      <c r="M21" s="23" t="s">
        <v>277</v>
      </c>
      <c r="N21" s="28">
        <v>1600</v>
      </c>
      <c r="O21" s="28">
        <v>1728</v>
      </c>
      <c r="P21" s="30">
        <f>Tabela4[[#This Row],[Realizado
Jan]]-Tabela4[[#This Row],[Orçado
Jan]]</f>
        <v>128</v>
      </c>
      <c r="Q21" s="39">
        <f t="shared" si="0"/>
        <v>0.08</v>
      </c>
      <c r="R21" s="28">
        <v>1600</v>
      </c>
      <c r="S21" s="28">
        <v>1728</v>
      </c>
      <c r="T21" s="30">
        <f>Tabela4[[#This Row],[Realizado
Fev]]-Tabela4[[#This Row],[Orçado
Fev]]</f>
        <v>128</v>
      </c>
      <c r="U21" s="39">
        <f t="shared" si="1"/>
        <v>0.08</v>
      </c>
      <c r="V21" s="28">
        <v>1670</v>
      </c>
      <c r="W21" s="28">
        <v>1728</v>
      </c>
      <c r="X21" s="30">
        <f>Tabela4[[#This Row],[Realizado
Mar]]-Tabela4[[#This Row],[Orçado
Mar]]</f>
        <v>58</v>
      </c>
      <c r="Y21" s="39">
        <f t="shared" si="2"/>
        <v>3.473053892215569E-2</v>
      </c>
      <c r="Z21" s="28">
        <v>1670</v>
      </c>
      <c r="AA21" s="28">
        <v>0</v>
      </c>
      <c r="AB21" s="30">
        <f>Tabela4[[#This Row],[Realizado
Abr]]-Tabela4[[#This Row],[Orçado
Abr]]</f>
        <v>-1670</v>
      </c>
      <c r="AC21" s="39">
        <f t="shared" si="3"/>
        <v>-1</v>
      </c>
      <c r="AD21" s="28">
        <v>3340</v>
      </c>
      <c r="AE21" s="28">
        <v>0</v>
      </c>
      <c r="AF21" s="30">
        <f>Tabela4[[#This Row],[Realizado
Mai]]-Tabela4[[#This Row],[Orçado
Mai]]</f>
        <v>-3340</v>
      </c>
      <c r="AG21" s="38">
        <f t="shared" si="4"/>
        <v>-1</v>
      </c>
      <c r="AH21" s="28">
        <v>3340</v>
      </c>
      <c r="AI21" s="28">
        <v>0</v>
      </c>
      <c r="AJ21" s="30">
        <f>Tabela4[[#This Row],[Realizado
Jun]]-Tabela4[[#This Row],[Orçado
Jun]]</f>
        <v>-3340</v>
      </c>
      <c r="AK21" s="38">
        <f t="shared" si="5"/>
        <v>-1</v>
      </c>
      <c r="AL21" s="28">
        <v>3340</v>
      </c>
      <c r="AM21" s="28">
        <v>0</v>
      </c>
      <c r="AN21" s="30">
        <f>Tabela4[[#This Row],[Realizado
Jul]]-Tabela4[[#This Row],[Orçado
Jul]]</f>
        <v>-3340</v>
      </c>
      <c r="AO21" s="38">
        <f t="shared" si="6"/>
        <v>-1</v>
      </c>
      <c r="AP21" s="28">
        <v>3340</v>
      </c>
      <c r="AQ21" s="28"/>
      <c r="AR21" s="29">
        <f>Tabela4[[#This Row],[Realizado
Ago]]-Tabela4[[#This Row],[Orçado
Ago]]</f>
        <v>-3340</v>
      </c>
      <c r="AS21" s="38">
        <f t="shared" si="7"/>
        <v>-1</v>
      </c>
      <c r="AT21" s="28">
        <v>3340</v>
      </c>
      <c r="AU21" s="28">
        <v>0</v>
      </c>
      <c r="AV21" s="29">
        <f>Tabela4[[#This Row],[Realizado
Set]]-Tabela4[[#This Row],[Orçado
Set]]</f>
        <v>-3340</v>
      </c>
      <c r="AW21" s="38">
        <f t="shared" si="8"/>
        <v>-1</v>
      </c>
      <c r="AX21" s="28">
        <v>3340</v>
      </c>
      <c r="AY21" s="28">
        <v>0</v>
      </c>
      <c r="AZ21" s="29">
        <f>Tabela4[[#This Row],[Realizado
Out]]-Tabela4[[#This Row],[Orçado
Out]]</f>
        <v>-3340</v>
      </c>
      <c r="BA21" s="38">
        <f t="shared" si="9"/>
        <v>-1</v>
      </c>
      <c r="BB21" s="28">
        <v>3340</v>
      </c>
      <c r="BC21" s="28">
        <v>0</v>
      </c>
      <c r="BD21" s="29">
        <f>Tabela4[[#This Row],[Realizado
Nov]]-Tabela4[[#This Row],[Orçado
Nov]]</f>
        <v>-3340</v>
      </c>
      <c r="BE21" s="38">
        <f t="shared" si="10"/>
        <v>-1</v>
      </c>
      <c r="BF21" s="28">
        <v>3340</v>
      </c>
      <c r="BG21" s="57">
        <v>0</v>
      </c>
      <c r="BH21" s="29">
        <f>Tabela4[[#This Row],[Realizado
Dez]]-Tabela4[[#This Row],[Orçado
Dez]]</f>
        <v>-3340</v>
      </c>
      <c r="BI21" s="38">
        <f t="shared" si="11"/>
        <v>-1</v>
      </c>
      <c r="BJ21" s="29">
        <f t="shared" si="12"/>
        <v>33260</v>
      </c>
      <c r="BK21" s="29">
        <f t="shared" si="13"/>
        <v>5184</v>
      </c>
      <c r="BL21" s="34">
        <f t="shared" si="14"/>
        <v>-28018</v>
      </c>
      <c r="BM21" s="42">
        <f t="shared" si="15"/>
        <v>-0.84413710162357181</v>
      </c>
      <c r="BN21" s="36">
        <f>Tabela4[[#This Row],[Total Orçado
Ano]]-Tabela4[[#This Row],[Total Realizado
Ano]]</f>
        <v>28076</v>
      </c>
      <c r="BO21" s="36">
        <f>Tabela4[[#This Row],[Total Orçado
Ano]]-Tabela4[[#This Row],[Total Realizado
Ano]]</f>
        <v>28076</v>
      </c>
    </row>
    <row r="22" spans="1:67" s="23" customFormat="1" ht="12" x14ac:dyDescent="0.2">
      <c r="A22" s="25">
        <v>2026</v>
      </c>
      <c r="B22" s="14" t="s">
        <v>92</v>
      </c>
      <c r="C22" s="14" t="s">
        <v>142</v>
      </c>
      <c r="D22" s="23" t="s">
        <v>93</v>
      </c>
      <c r="E22" s="23" t="s">
        <v>4</v>
      </c>
      <c r="F22" s="23" t="s">
        <v>242</v>
      </c>
      <c r="G22" s="23" t="s">
        <v>247</v>
      </c>
      <c r="H22" s="23" t="s">
        <v>250</v>
      </c>
      <c r="J22" s="23" t="s">
        <v>86</v>
      </c>
      <c r="K22" s="23" t="s">
        <v>96</v>
      </c>
      <c r="L22" s="23" t="s">
        <v>90</v>
      </c>
      <c r="M22" s="23" t="s">
        <v>278</v>
      </c>
      <c r="N22" s="28">
        <v>3200</v>
      </c>
      <c r="O22" s="28">
        <v>0</v>
      </c>
      <c r="P22" s="30">
        <f>Tabela4[[#This Row],[Realizado
Jan]]-Tabela4[[#This Row],[Orçado
Jan]]</f>
        <v>-3200</v>
      </c>
      <c r="Q22" s="39">
        <f t="shared" si="0"/>
        <v>-1</v>
      </c>
      <c r="R22" s="28">
        <v>3200</v>
      </c>
      <c r="S22" s="28">
        <v>0</v>
      </c>
      <c r="T22" s="30">
        <f>Tabela4[[#This Row],[Realizado
Fev]]-Tabela4[[#This Row],[Orçado
Fev]]</f>
        <v>-3200</v>
      </c>
      <c r="U22" s="39">
        <f t="shared" si="1"/>
        <v>-1</v>
      </c>
      <c r="V22" s="28">
        <v>3200</v>
      </c>
      <c r="W22" s="28">
        <v>0</v>
      </c>
      <c r="X22" s="30">
        <f>Tabela4[[#This Row],[Realizado
Mar]]-Tabela4[[#This Row],[Orçado
Mar]]</f>
        <v>-3200</v>
      </c>
      <c r="Y22" s="39">
        <f t="shared" si="2"/>
        <v>-1</v>
      </c>
      <c r="Z22" s="28">
        <v>3200</v>
      </c>
      <c r="AA22" s="28">
        <v>0</v>
      </c>
      <c r="AB22" s="30">
        <f>Tabela4[[#This Row],[Realizado
Abr]]-Tabela4[[#This Row],[Orçado
Abr]]</f>
        <v>-3200</v>
      </c>
      <c r="AC22" s="39">
        <f t="shared" si="3"/>
        <v>-1</v>
      </c>
      <c r="AD22" s="28">
        <v>3200</v>
      </c>
      <c r="AE22" s="28">
        <v>0</v>
      </c>
      <c r="AF22" s="30">
        <f>Tabela4[[#This Row],[Realizado
Mai]]-Tabela4[[#This Row],[Orçado
Mai]]</f>
        <v>-3200</v>
      </c>
      <c r="AG22" s="38">
        <f t="shared" si="4"/>
        <v>-1</v>
      </c>
      <c r="AH22" s="28">
        <v>3200</v>
      </c>
      <c r="AI22" s="28">
        <v>0</v>
      </c>
      <c r="AJ22" s="30">
        <f>Tabela4[[#This Row],[Realizado
Jun]]-Tabela4[[#This Row],[Orçado
Jun]]</f>
        <v>-3200</v>
      </c>
      <c r="AK22" s="38">
        <f t="shared" si="5"/>
        <v>-1</v>
      </c>
      <c r="AL22" s="28">
        <v>3200</v>
      </c>
      <c r="AM22" s="28">
        <v>0</v>
      </c>
      <c r="AN22" s="30">
        <f>Tabela4[[#This Row],[Realizado
Jul]]-Tabela4[[#This Row],[Orçado
Jul]]</f>
        <v>-3200</v>
      </c>
      <c r="AO22" s="38">
        <f t="shared" si="6"/>
        <v>-1</v>
      </c>
      <c r="AP22" s="28">
        <v>3200</v>
      </c>
      <c r="AQ22" s="28">
        <v>0</v>
      </c>
      <c r="AR22" s="29">
        <f>Tabela4[[#This Row],[Realizado
Ago]]-Tabela4[[#This Row],[Orçado
Ago]]</f>
        <v>-3200</v>
      </c>
      <c r="AS22" s="38">
        <f t="shared" si="7"/>
        <v>-1</v>
      </c>
      <c r="AT22" s="28">
        <v>3200</v>
      </c>
      <c r="AU22" s="28">
        <v>0</v>
      </c>
      <c r="AV22" s="29">
        <f>Tabela4[[#This Row],[Realizado
Set]]-Tabela4[[#This Row],[Orçado
Set]]</f>
        <v>-3200</v>
      </c>
      <c r="AW22" s="38">
        <f t="shared" si="8"/>
        <v>-1</v>
      </c>
      <c r="AX22" s="28">
        <v>3200</v>
      </c>
      <c r="AY22" s="28">
        <v>0</v>
      </c>
      <c r="AZ22" s="29">
        <f>Tabela4[[#This Row],[Realizado
Out]]-Tabela4[[#This Row],[Orçado
Out]]</f>
        <v>-3200</v>
      </c>
      <c r="BA22" s="38">
        <f t="shared" si="9"/>
        <v>-1</v>
      </c>
      <c r="BB22" s="28">
        <v>3200</v>
      </c>
      <c r="BC22" s="28">
        <v>0</v>
      </c>
      <c r="BD22" s="29">
        <f>Tabela4[[#This Row],[Realizado
Nov]]-Tabela4[[#This Row],[Orçado
Nov]]</f>
        <v>-3200</v>
      </c>
      <c r="BE22" s="38">
        <f t="shared" si="10"/>
        <v>-1</v>
      </c>
      <c r="BF22" s="28">
        <v>3200</v>
      </c>
      <c r="BG22" s="57">
        <v>0</v>
      </c>
      <c r="BH22" s="29">
        <f>Tabela4[[#This Row],[Realizado
Dez]]-Tabela4[[#This Row],[Orçado
Dez]]</f>
        <v>-3200</v>
      </c>
      <c r="BI22" s="38">
        <f t="shared" si="11"/>
        <v>-1</v>
      </c>
      <c r="BJ22" s="29">
        <f t="shared" si="12"/>
        <v>38400</v>
      </c>
      <c r="BK22" s="29">
        <f t="shared" si="13"/>
        <v>0</v>
      </c>
      <c r="BL22" s="34">
        <f t="shared" si="14"/>
        <v>-41600</v>
      </c>
      <c r="BM22" s="42">
        <f t="shared" si="15"/>
        <v>-1</v>
      </c>
      <c r="BN22" s="36">
        <f>Tabela4[[#This Row],[Total Orçado
Ano]]-Tabela4[[#This Row],[Total Realizado
Ano]]</f>
        <v>38400</v>
      </c>
      <c r="BO22" s="36">
        <f>Tabela4[[#This Row],[Total Orçado
Ano]]-Tabela4[[#This Row],[Total Realizado
Ano]]</f>
        <v>38400</v>
      </c>
    </row>
    <row r="23" spans="1:67" s="23" customFormat="1" ht="12" x14ac:dyDescent="0.2">
      <c r="A23" s="25">
        <v>2026</v>
      </c>
      <c r="B23" s="14" t="s">
        <v>92</v>
      </c>
      <c r="C23" s="14" t="s">
        <v>139</v>
      </c>
      <c r="D23" s="23" t="s">
        <v>93</v>
      </c>
      <c r="E23" s="23" t="s">
        <v>18</v>
      </c>
      <c r="F23" s="23" t="s">
        <v>109</v>
      </c>
      <c r="G23" s="23" t="s">
        <v>108</v>
      </c>
      <c r="H23" s="23" t="s">
        <v>109</v>
      </c>
      <c r="J23" s="23" t="s">
        <v>86</v>
      </c>
      <c r="K23" s="23" t="s">
        <v>96</v>
      </c>
      <c r="L23" s="23" t="s">
        <v>90</v>
      </c>
      <c r="N23" s="28">
        <v>7220</v>
      </c>
      <c r="O23" s="28">
        <v>7666.7</v>
      </c>
      <c r="P23" s="30">
        <f>Tabela4[[#This Row],[Realizado
Jan]]-Tabela4[[#This Row],[Orçado
Jan]]</f>
        <v>446.69999999999982</v>
      </c>
      <c r="Q23" s="39">
        <f t="shared" si="0"/>
        <v>6.18698060941828E-2</v>
      </c>
      <c r="R23" s="28">
        <v>7220</v>
      </c>
      <c r="S23" s="28">
        <v>7666.7</v>
      </c>
      <c r="T23" s="30">
        <f>Tabela4[[#This Row],[Realizado
Fev]]-Tabela4[[#This Row],[Orçado
Fev]]</f>
        <v>446.69999999999982</v>
      </c>
      <c r="U23" s="39">
        <f t="shared" si="1"/>
        <v>6.18698060941828E-2</v>
      </c>
      <c r="V23" s="28">
        <v>7220</v>
      </c>
      <c r="W23" s="28">
        <v>4466.7</v>
      </c>
      <c r="X23" s="30">
        <f>Tabela4[[#This Row],[Realizado
Mar]]-Tabela4[[#This Row],[Orçado
Mar]]</f>
        <v>-2753.3</v>
      </c>
      <c r="Y23" s="39">
        <f t="shared" si="2"/>
        <v>-0.38134349030470915</v>
      </c>
      <c r="Z23" s="28">
        <v>7220</v>
      </c>
      <c r="AA23" s="28">
        <v>0</v>
      </c>
      <c r="AB23" s="30">
        <f>Tabela4[[#This Row],[Realizado
Abr]]-Tabela4[[#This Row],[Orçado
Abr]]</f>
        <v>-7220</v>
      </c>
      <c r="AC23" s="39">
        <f t="shared" si="3"/>
        <v>-1</v>
      </c>
      <c r="AD23" s="28">
        <v>7220</v>
      </c>
      <c r="AE23" s="28">
        <v>0</v>
      </c>
      <c r="AF23" s="30">
        <f>Tabela4[[#This Row],[Realizado
Mai]]-Tabela4[[#This Row],[Orçado
Mai]]</f>
        <v>-7220</v>
      </c>
      <c r="AG23" s="38">
        <f t="shared" si="4"/>
        <v>-1</v>
      </c>
      <c r="AH23" s="28">
        <v>7220</v>
      </c>
      <c r="AI23" s="28">
        <v>0</v>
      </c>
      <c r="AJ23" s="30">
        <f>Tabela4[[#This Row],[Realizado
Jun]]-Tabela4[[#This Row],[Orçado
Jun]]</f>
        <v>-7220</v>
      </c>
      <c r="AK23" s="38">
        <f t="shared" si="5"/>
        <v>-1</v>
      </c>
      <c r="AL23" s="28">
        <v>0</v>
      </c>
      <c r="AM23" s="28">
        <v>0</v>
      </c>
      <c r="AN23" s="30">
        <f>Tabela4[[#This Row],[Realizado
Jul]]-Tabela4[[#This Row],[Orçado
Jul]]</f>
        <v>0</v>
      </c>
      <c r="AO23" s="38" t="str">
        <f t="shared" si="6"/>
        <v>-</v>
      </c>
      <c r="AP23" s="28">
        <v>0</v>
      </c>
      <c r="AQ23" s="28">
        <v>0</v>
      </c>
      <c r="AR23" s="29">
        <f>Tabela4[[#This Row],[Realizado
Ago]]-Tabela4[[#This Row],[Orçado
Ago]]</f>
        <v>0</v>
      </c>
      <c r="AS23" s="38" t="str">
        <f t="shared" si="7"/>
        <v>-</v>
      </c>
      <c r="AT23" s="28">
        <v>0</v>
      </c>
      <c r="AU23" s="28">
        <v>0</v>
      </c>
      <c r="AV23" s="29">
        <f>Tabela4[[#This Row],[Realizado
Set]]-Tabela4[[#This Row],[Orçado
Set]]</f>
        <v>0</v>
      </c>
      <c r="AW23" s="38" t="str">
        <f t="shared" si="8"/>
        <v>-</v>
      </c>
      <c r="AX23" s="28">
        <v>0</v>
      </c>
      <c r="AY23" s="28">
        <v>0</v>
      </c>
      <c r="AZ23" s="29">
        <f>Tabela4[[#This Row],[Realizado
Out]]-Tabela4[[#This Row],[Orçado
Out]]</f>
        <v>0</v>
      </c>
      <c r="BA23" s="38" t="str">
        <f t="shared" si="9"/>
        <v>-</v>
      </c>
      <c r="BB23" s="28">
        <v>0</v>
      </c>
      <c r="BC23" s="28">
        <v>0</v>
      </c>
      <c r="BD23" s="29">
        <f>Tabela4[[#This Row],[Realizado
Nov]]-Tabela4[[#This Row],[Orçado
Nov]]</f>
        <v>0</v>
      </c>
      <c r="BE23" s="38" t="str">
        <f t="shared" si="10"/>
        <v>-</v>
      </c>
      <c r="BF23" s="28">
        <v>0</v>
      </c>
      <c r="BG23" s="57">
        <v>0</v>
      </c>
      <c r="BH23" s="29">
        <f>Tabela4[[#This Row],[Realizado
Dez]]-Tabela4[[#This Row],[Orçado
Dez]]</f>
        <v>0</v>
      </c>
      <c r="BI23" s="38" t="str">
        <f t="shared" si="11"/>
        <v>-</v>
      </c>
      <c r="BJ23" s="29">
        <f t="shared" si="12"/>
        <v>43320</v>
      </c>
      <c r="BK23" s="29">
        <f t="shared" si="13"/>
        <v>19800.099999999999</v>
      </c>
      <c r="BL23" s="34">
        <f t="shared" si="14"/>
        <v>-26273.199999999997</v>
      </c>
      <c r="BM23" s="42">
        <f t="shared" si="15"/>
        <v>-0.54293397968605728</v>
      </c>
      <c r="BN23" s="36">
        <f>Tabela4[[#This Row],[Total Orçado
Ano]]-Tabela4[[#This Row],[Total Realizado
Ano]]</f>
        <v>23519.9</v>
      </c>
      <c r="BO23" s="36">
        <f>Tabela4[[#This Row],[Total Orçado
Ano]]-Tabela4[[#This Row],[Total Realizado
Ano]]</f>
        <v>23519.9</v>
      </c>
    </row>
    <row r="24" spans="1:67" s="23" customFormat="1" ht="12" x14ac:dyDescent="0.2">
      <c r="A24" s="25">
        <v>2026</v>
      </c>
      <c r="B24" s="14" t="s">
        <v>92</v>
      </c>
      <c r="C24" s="14" t="s">
        <v>143</v>
      </c>
      <c r="D24" s="23" t="s">
        <v>93</v>
      </c>
      <c r="E24" s="23" t="s">
        <v>18</v>
      </c>
      <c r="F24" s="23" t="s">
        <v>192</v>
      </c>
      <c r="H24" s="23" t="s">
        <v>135</v>
      </c>
      <c r="J24" s="23" t="s">
        <v>86</v>
      </c>
      <c r="K24" s="23" t="s">
        <v>96</v>
      </c>
      <c r="L24" s="23" t="s">
        <v>87</v>
      </c>
      <c r="M24" s="23" t="s">
        <v>307</v>
      </c>
      <c r="N24" s="28">
        <v>25859</v>
      </c>
      <c r="O24" s="28">
        <v>24776</v>
      </c>
      <c r="P24" s="30">
        <f>Tabela4[[#This Row],[Realizado
Jan]]-Tabela4[[#This Row],[Orçado
Jan]]</f>
        <v>-1083</v>
      </c>
      <c r="Q24" s="39">
        <f t="shared" si="0"/>
        <v>-4.1880969875091843E-2</v>
      </c>
      <c r="R24" s="28">
        <v>25859</v>
      </c>
      <c r="S24" s="28">
        <v>24776</v>
      </c>
      <c r="T24" s="30">
        <f>Tabela4[[#This Row],[Realizado
Fev]]-Tabela4[[#This Row],[Orçado
Fev]]</f>
        <v>-1083</v>
      </c>
      <c r="U24" s="39">
        <f t="shared" si="1"/>
        <v>-4.1880969875091843E-2</v>
      </c>
      <c r="V24" s="28">
        <v>25859</v>
      </c>
      <c r="W24" s="28">
        <v>18042</v>
      </c>
      <c r="X24" s="30">
        <f>Tabela4[[#This Row],[Realizado
Mar]]-Tabela4[[#This Row],[Orçado
Mar]]</f>
        <v>-7817</v>
      </c>
      <c r="Y24" s="39">
        <f t="shared" si="2"/>
        <v>-0.3022932054603813</v>
      </c>
      <c r="Z24" s="28">
        <v>0</v>
      </c>
      <c r="AA24" s="28">
        <v>0</v>
      </c>
      <c r="AB24" s="30">
        <f>Tabela4[[#This Row],[Realizado
Abr]]-Tabela4[[#This Row],[Orçado
Abr]]</f>
        <v>0</v>
      </c>
      <c r="AC24" s="39" t="str">
        <f t="shared" si="3"/>
        <v>-</v>
      </c>
      <c r="AD24" s="28">
        <v>0</v>
      </c>
      <c r="AE24" s="28">
        <v>0</v>
      </c>
      <c r="AF24" s="30">
        <f>Tabela4[[#This Row],[Realizado
Mai]]-Tabela4[[#This Row],[Orçado
Mai]]</f>
        <v>0</v>
      </c>
      <c r="AG24" s="38" t="str">
        <f t="shared" si="4"/>
        <v>-</v>
      </c>
      <c r="AH24" s="28">
        <v>0</v>
      </c>
      <c r="AI24" s="28">
        <v>0</v>
      </c>
      <c r="AJ24" s="30">
        <f>Tabela4[[#This Row],[Realizado
Jun]]-Tabela4[[#This Row],[Orçado
Jun]]</f>
        <v>0</v>
      </c>
      <c r="AK24" s="38" t="str">
        <f t="shared" si="5"/>
        <v>-</v>
      </c>
      <c r="AL24" s="28">
        <v>0</v>
      </c>
      <c r="AM24" s="28">
        <v>0</v>
      </c>
      <c r="AN24" s="30">
        <f>Tabela4[[#This Row],[Realizado
Jul]]-Tabela4[[#This Row],[Orçado
Jul]]</f>
        <v>0</v>
      </c>
      <c r="AO24" s="38" t="str">
        <f t="shared" si="6"/>
        <v>-</v>
      </c>
      <c r="AP24" s="28">
        <v>0</v>
      </c>
      <c r="AQ24" s="28">
        <v>0</v>
      </c>
      <c r="AR24" s="29">
        <f>Tabela4[[#This Row],[Realizado
Ago]]-Tabela4[[#This Row],[Orçado
Ago]]</f>
        <v>0</v>
      </c>
      <c r="AS24" s="38" t="str">
        <f t="shared" si="7"/>
        <v>-</v>
      </c>
      <c r="AT24" s="28">
        <v>0</v>
      </c>
      <c r="AU24" s="28">
        <v>0</v>
      </c>
      <c r="AV24" s="29">
        <f>Tabela4[[#This Row],[Realizado
Set]]-Tabela4[[#This Row],[Orçado
Set]]</f>
        <v>0</v>
      </c>
      <c r="AW24" s="38" t="str">
        <f t="shared" si="8"/>
        <v>-</v>
      </c>
      <c r="AX24" s="28">
        <v>0</v>
      </c>
      <c r="AY24" s="28">
        <v>0</v>
      </c>
      <c r="AZ24" s="29">
        <f>Tabela4[[#This Row],[Realizado
Out]]-Tabela4[[#This Row],[Orçado
Out]]</f>
        <v>0</v>
      </c>
      <c r="BA24" s="38" t="str">
        <f t="shared" si="9"/>
        <v>-</v>
      </c>
      <c r="BB24" s="28">
        <v>0</v>
      </c>
      <c r="BC24" s="28">
        <v>0</v>
      </c>
      <c r="BD24" s="29">
        <f>Tabela4[[#This Row],[Realizado
Nov]]-Tabela4[[#This Row],[Orçado
Nov]]</f>
        <v>0</v>
      </c>
      <c r="BE24" s="38" t="str">
        <f t="shared" si="10"/>
        <v>-</v>
      </c>
      <c r="BF24" s="28">
        <v>0</v>
      </c>
      <c r="BG24" s="57">
        <v>0</v>
      </c>
      <c r="BH24" s="29">
        <f>Tabela4[[#This Row],[Realizado
Dez]]-Tabela4[[#This Row],[Orçado
Dez]]</f>
        <v>0</v>
      </c>
      <c r="BI24" s="38" t="str">
        <f t="shared" si="11"/>
        <v>-</v>
      </c>
      <c r="BJ24" s="29">
        <f t="shared" si="12"/>
        <v>77577</v>
      </c>
      <c r="BK24" s="29">
        <f t="shared" si="13"/>
        <v>67594</v>
      </c>
      <c r="BL24" s="34">
        <f t="shared" si="14"/>
        <v>-17800</v>
      </c>
      <c r="BM24" s="42">
        <f t="shared" si="15"/>
        <v>-0.12868504840352166</v>
      </c>
      <c r="BN24" s="36">
        <f>Tabela4[[#This Row],[Total Orçado
Ano]]-Tabela4[[#This Row],[Total Realizado
Ano]]</f>
        <v>9983</v>
      </c>
      <c r="BO24" s="36">
        <f>Tabela4[[#This Row],[Total Orçado
Ano]]-Tabela4[[#This Row],[Total Realizado
Ano]]</f>
        <v>9983</v>
      </c>
    </row>
    <row r="25" spans="1:67" s="23" customFormat="1" ht="12" x14ac:dyDescent="0.2">
      <c r="A25" s="25">
        <v>2026</v>
      </c>
      <c r="B25" s="14" t="s">
        <v>92</v>
      </c>
      <c r="C25" s="14" t="s">
        <v>139</v>
      </c>
      <c r="D25" s="23" t="s">
        <v>93</v>
      </c>
      <c r="E25" s="23" t="s">
        <v>2</v>
      </c>
      <c r="F25" s="23" t="s">
        <v>196</v>
      </c>
      <c r="H25" s="23" t="s">
        <v>130</v>
      </c>
      <c r="J25" s="23" t="s">
        <v>86</v>
      </c>
      <c r="K25" s="23" t="s">
        <v>96</v>
      </c>
      <c r="L25" s="23" t="s">
        <v>90</v>
      </c>
      <c r="M25" s="23" t="s">
        <v>279</v>
      </c>
      <c r="N25" s="28">
        <v>4090</v>
      </c>
      <c r="O25" s="28">
        <v>8975.25</v>
      </c>
      <c r="P25" s="30">
        <f>Tabela4[[#This Row],[Realizado
Jan]]-Tabela4[[#This Row],[Orçado
Jan]]</f>
        <v>4885.25</v>
      </c>
      <c r="Q25" s="39">
        <f t="shared" si="0"/>
        <v>1.194437652811736</v>
      </c>
      <c r="R25" s="28">
        <v>4090</v>
      </c>
      <c r="S25" s="28">
        <v>8975.25</v>
      </c>
      <c r="T25" s="30">
        <f>Tabela4[[#This Row],[Realizado
Fev]]-Tabela4[[#This Row],[Orçado
Fev]]</f>
        <v>4885.25</v>
      </c>
      <c r="U25" s="39">
        <f t="shared" si="1"/>
        <v>1.194437652811736</v>
      </c>
      <c r="V25" s="28">
        <v>4090</v>
      </c>
      <c r="W25" s="59">
        <v>5981.09</v>
      </c>
      <c r="X25" s="30">
        <f>Tabela4[[#This Row],[Realizado
Mar]]-Tabela4[[#This Row],[Orçado
Mar]]</f>
        <v>1891.0900000000001</v>
      </c>
      <c r="Y25" s="39">
        <f t="shared" si="2"/>
        <v>0.46236919315403424</v>
      </c>
      <c r="Z25" s="28">
        <v>4090</v>
      </c>
      <c r="AA25" s="28">
        <v>0</v>
      </c>
      <c r="AB25" s="30">
        <f>Tabela4[[#This Row],[Realizado
Abr]]-Tabela4[[#This Row],[Orçado
Abr]]</f>
        <v>-4090</v>
      </c>
      <c r="AC25" s="39">
        <f t="shared" si="3"/>
        <v>-1</v>
      </c>
      <c r="AD25" s="28">
        <v>4090</v>
      </c>
      <c r="AE25" s="28">
        <v>0</v>
      </c>
      <c r="AF25" s="30">
        <f>Tabela4[[#This Row],[Realizado
Mai]]-Tabela4[[#This Row],[Orçado
Mai]]</f>
        <v>-4090</v>
      </c>
      <c r="AG25" s="38">
        <f t="shared" si="4"/>
        <v>-1</v>
      </c>
      <c r="AH25" s="28">
        <v>4090</v>
      </c>
      <c r="AI25" s="28">
        <v>0</v>
      </c>
      <c r="AJ25" s="30">
        <f>Tabela4[[#This Row],[Realizado
Jun]]-Tabela4[[#This Row],[Orçado
Jun]]</f>
        <v>-4090</v>
      </c>
      <c r="AK25" s="38">
        <f t="shared" si="5"/>
        <v>-1</v>
      </c>
      <c r="AL25" s="28">
        <v>4090</v>
      </c>
      <c r="AM25" s="28">
        <v>0</v>
      </c>
      <c r="AN25" s="30">
        <f>Tabela4[[#This Row],[Realizado
Jul]]-Tabela4[[#This Row],[Orçado
Jul]]</f>
        <v>-4090</v>
      </c>
      <c r="AO25" s="38">
        <f t="shared" si="6"/>
        <v>-1</v>
      </c>
      <c r="AP25" s="28">
        <v>4090</v>
      </c>
      <c r="AQ25" s="28">
        <v>0</v>
      </c>
      <c r="AR25" s="29">
        <f>Tabela4[[#This Row],[Realizado
Ago]]-Tabela4[[#This Row],[Orçado
Ago]]</f>
        <v>-4090</v>
      </c>
      <c r="AS25" s="38">
        <f t="shared" si="7"/>
        <v>-1</v>
      </c>
      <c r="AT25" s="28">
        <v>4090</v>
      </c>
      <c r="AU25" s="28">
        <v>0</v>
      </c>
      <c r="AV25" s="29">
        <f>Tabela4[[#This Row],[Realizado
Set]]-Tabela4[[#This Row],[Orçado
Set]]</f>
        <v>-4090</v>
      </c>
      <c r="AW25" s="38">
        <f t="shared" si="8"/>
        <v>-1</v>
      </c>
      <c r="AX25" s="28">
        <v>4090</v>
      </c>
      <c r="AY25" s="28">
        <v>0</v>
      </c>
      <c r="AZ25" s="29">
        <f>Tabela4[[#This Row],[Realizado
Out]]-Tabela4[[#This Row],[Orçado
Out]]</f>
        <v>-4090</v>
      </c>
      <c r="BA25" s="38">
        <f t="shared" si="9"/>
        <v>-1</v>
      </c>
      <c r="BB25" s="28">
        <v>4090</v>
      </c>
      <c r="BC25" s="28">
        <v>0</v>
      </c>
      <c r="BD25" s="29">
        <f>Tabela4[[#This Row],[Realizado
Nov]]-Tabela4[[#This Row],[Orçado
Nov]]</f>
        <v>-4090</v>
      </c>
      <c r="BE25" s="38">
        <f t="shared" si="10"/>
        <v>-1</v>
      </c>
      <c r="BF25" s="28">
        <v>4090</v>
      </c>
      <c r="BG25" s="57">
        <v>0</v>
      </c>
      <c r="BH25" s="29">
        <f>Tabela4[[#This Row],[Realizado
Dez]]-Tabela4[[#This Row],[Orçado
Dez]]</f>
        <v>-4090</v>
      </c>
      <c r="BI25" s="38">
        <f t="shared" si="11"/>
        <v>-1</v>
      </c>
      <c r="BJ25" s="29">
        <f t="shared" si="12"/>
        <v>49080</v>
      </c>
      <c r="BK25" s="29">
        <f t="shared" si="13"/>
        <v>23931.59</v>
      </c>
      <c r="BL25" s="34">
        <f t="shared" si="14"/>
        <v>-23257.320000000007</v>
      </c>
      <c r="BM25" s="42">
        <f t="shared" si="15"/>
        <v>-0.51239629176854118</v>
      </c>
      <c r="BN25" s="36">
        <f>Tabela4[[#This Row],[Total Orçado
Ano]]-Tabela4[[#This Row],[Total Realizado
Ano]]</f>
        <v>25148.41</v>
      </c>
      <c r="BO25" s="36">
        <f>Tabela4[[#This Row],[Total Orçado
Ano]]-Tabela4[[#This Row],[Total Realizado
Ano]]</f>
        <v>25148.41</v>
      </c>
    </row>
    <row r="26" spans="1:67" s="23" customFormat="1" ht="12" x14ac:dyDescent="0.2">
      <c r="A26" s="25">
        <v>2026</v>
      </c>
      <c r="B26" s="14" t="s">
        <v>92</v>
      </c>
      <c r="C26" s="14" t="s">
        <v>139</v>
      </c>
      <c r="D26" s="23" t="s">
        <v>93</v>
      </c>
      <c r="E26" s="23" t="s">
        <v>2</v>
      </c>
      <c r="F26" s="23" t="s">
        <v>197</v>
      </c>
      <c r="H26" s="23" t="s">
        <v>110</v>
      </c>
      <c r="J26" s="23" t="s">
        <v>86</v>
      </c>
      <c r="K26" s="23" t="s">
        <v>96</v>
      </c>
      <c r="L26" s="23" t="s">
        <v>90</v>
      </c>
      <c r="M26" s="23" t="s">
        <v>281</v>
      </c>
      <c r="N26" s="28">
        <v>3360</v>
      </c>
      <c r="O26" s="28">
        <v>482</v>
      </c>
      <c r="P26" s="30">
        <f>Tabela4[[#This Row],[Realizado
Jan]]-Tabela4[[#This Row],[Orçado
Jan]]</f>
        <v>-2878</v>
      </c>
      <c r="Q26" s="39">
        <f t="shared" si="0"/>
        <v>-0.856547619047619</v>
      </c>
      <c r="R26" s="28">
        <v>3360</v>
      </c>
      <c r="S26" s="28">
        <v>497</v>
      </c>
      <c r="T26" s="30">
        <f>Tabela4[[#This Row],[Realizado
Fev]]-Tabela4[[#This Row],[Orçado
Fev]]</f>
        <v>-2863</v>
      </c>
      <c r="U26" s="39">
        <f t="shared" si="1"/>
        <v>-0.8520833333333333</v>
      </c>
      <c r="V26" s="28">
        <v>3360</v>
      </c>
      <c r="W26" s="28">
        <v>52.97</v>
      </c>
      <c r="X26" s="30">
        <f>Tabela4[[#This Row],[Realizado
Mar]]-Tabela4[[#This Row],[Orçado
Mar]]</f>
        <v>-3307.03</v>
      </c>
      <c r="Y26" s="39">
        <f t="shared" si="2"/>
        <v>-0.98423511904761907</v>
      </c>
      <c r="Z26" s="28">
        <v>0</v>
      </c>
      <c r="AA26" s="28">
        <v>0</v>
      </c>
      <c r="AB26" s="30">
        <f>Tabela4[[#This Row],[Realizado
Abr]]-Tabela4[[#This Row],[Orçado
Abr]]</f>
        <v>0</v>
      </c>
      <c r="AC26" s="39" t="str">
        <f t="shared" si="3"/>
        <v>-</v>
      </c>
      <c r="AD26" s="28">
        <v>3360</v>
      </c>
      <c r="AE26" s="28">
        <v>0</v>
      </c>
      <c r="AF26" s="30">
        <f>Tabela4[[#This Row],[Realizado
Mai]]-Tabela4[[#This Row],[Orçado
Mai]]</f>
        <v>-3360</v>
      </c>
      <c r="AG26" s="38">
        <f t="shared" si="4"/>
        <v>-1</v>
      </c>
      <c r="AH26" s="28">
        <v>3360</v>
      </c>
      <c r="AI26" s="28">
        <v>0</v>
      </c>
      <c r="AJ26" s="30">
        <f>Tabela4[[#This Row],[Realizado
Jun]]-Tabela4[[#This Row],[Orçado
Jun]]</f>
        <v>-3360</v>
      </c>
      <c r="AK26" s="38">
        <f t="shared" si="5"/>
        <v>-1</v>
      </c>
      <c r="AL26" s="28">
        <v>3360</v>
      </c>
      <c r="AM26" s="28">
        <v>0</v>
      </c>
      <c r="AN26" s="30">
        <f>Tabela4[[#This Row],[Realizado
Jul]]-Tabela4[[#This Row],[Orçado
Jul]]</f>
        <v>-3360</v>
      </c>
      <c r="AO26" s="38">
        <f t="shared" si="6"/>
        <v>-1</v>
      </c>
      <c r="AP26" s="28">
        <v>3360</v>
      </c>
      <c r="AQ26" s="28">
        <v>0</v>
      </c>
      <c r="AR26" s="29">
        <f>Tabela4[[#This Row],[Realizado
Ago]]-Tabela4[[#This Row],[Orçado
Ago]]</f>
        <v>-3360</v>
      </c>
      <c r="AS26" s="38">
        <f t="shared" si="7"/>
        <v>-1</v>
      </c>
      <c r="AT26" s="28">
        <v>3360</v>
      </c>
      <c r="AU26" s="28">
        <v>0</v>
      </c>
      <c r="AV26" s="29">
        <f>Tabela4[[#This Row],[Realizado
Set]]-Tabela4[[#This Row],[Orçado
Set]]</f>
        <v>-3360</v>
      </c>
      <c r="AW26" s="38">
        <f t="shared" si="8"/>
        <v>-1</v>
      </c>
      <c r="AX26" s="28">
        <v>3360</v>
      </c>
      <c r="AY26" s="28">
        <v>0</v>
      </c>
      <c r="AZ26" s="29">
        <f>Tabela4[[#This Row],[Realizado
Out]]-Tabela4[[#This Row],[Orçado
Out]]</f>
        <v>-3360</v>
      </c>
      <c r="BA26" s="38">
        <f t="shared" si="9"/>
        <v>-1</v>
      </c>
      <c r="BB26" s="28">
        <v>3360</v>
      </c>
      <c r="BC26" s="28">
        <v>0</v>
      </c>
      <c r="BD26" s="29">
        <f>Tabela4[[#This Row],[Realizado
Nov]]-Tabela4[[#This Row],[Orçado
Nov]]</f>
        <v>-3360</v>
      </c>
      <c r="BE26" s="38">
        <f t="shared" si="10"/>
        <v>-1</v>
      </c>
      <c r="BF26" s="28">
        <v>3360</v>
      </c>
      <c r="BG26" s="57">
        <v>0</v>
      </c>
      <c r="BH26" s="29">
        <f>Tabela4[[#This Row],[Realizado
Dez]]-Tabela4[[#This Row],[Orçado
Dez]]</f>
        <v>-3360</v>
      </c>
      <c r="BI26" s="38">
        <f t="shared" si="11"/>
        <v>-1</v>
      </c>
      <c r="BJ26" s="29">
        <f t="shared" si="12"/>
        <v>36960</v>
      </c>
      <c r="BK26" s="29">
        <f t="shared" si="13"/>
        <v>1031.97</v>
      </c>
      <c r="BL26" s="34">
        <f t="shared" si="14"/>
        <v>-39235.06</v>
      </c>
      <c r="BM26" s="42">
        <f t="shared" si="15"/>
        <v>-0.97207873376623377</v>
      </c>
      <c r="BN26" s="36">
        <f>Tabela4[[#This Row],[Total Orçado
Ano]]-Tabela4[[#This Row],[Total Realizado
Ano]]</f>
        <v>35928.03</v>
      </c>
      <c r="BO26" s="36">
        <f>Tabela4[[#This Row],[Total Orçado
Ano]]-Tabela4[[#This Row],[Total Realizado
Ano]]</f>
        <v>35928.03</v>
      </c>
    </row>
    <row r="27" spans="1:67" s="23" customFormat="1" ht="12" x14ac:dyDescent="0.2">
      <c r="A27" s="25">
        <v>2026</v>
      </c>
      <c r="B27" s="14" t="s">
        <v>92</v>
      </c>
      <c r="C27" s="14" t="s">
        <v>139</v>
      </c>
      <c r="D27" s="23" t="s">
        <v>93</v>
      </c>
      <c r="E27" s="23" t="s">
        <v>2</v>
      </c>
      <c r="F27" s="23" t="s">
        <v>198</v>
      </c>
      <c r="H27" s="23" t="s">
        <v>111</v>
      </c>
      <c r="J27" s="23" t="s">
        <v>86</v>
      </c>
      <c r="K27" s="23" t="s">
        <v>96</v>
      </c>
      <c r="L27" s="23" t="s">
        <v>90</v>
      </c>
      <c r="M27" s="60" t="s">
        <v>285</v>
      </c>
      <c r="N27" s="28">
        <v>53600</v>
      </c>
      <c r="O27" s="28">
        <v>66804.11</v>
      </c>
      <c r="P27" s="30">
        <f>Tabela4[[#This Row],[Realizado
Jan]]-Tabela4[[#This Row],[Orçado
Jan]]</f>
        <v>13204.11</v>
      </c>
      <c r="Q27" s="39">
        <f t="shared" si="0"/>
        <v>0.24634533582089554</v>
      </c>
      <c r="R27" s="28">
        <v>53600</v>
      </c>
      <c r="S27" s="28">
        <v>61682</v>
      </c>
      <c r="T27" s="30">
        <f>Tabela4[[#This Row],[Realizado
Fev]]-Tabela4[[#This Row],[Orçado
Fev]]</f>
        <v>8082</v>
      </c>
      <c r="U27" s="39">
        <f t="shared" si="1"/>
        <v>0.15078358208955223</v>
      </c>
      <c r="V27" s="28">
        <v>53600</v>
      </c>
      <c r="W27" s="28">
        <v>61682</v>
      </c>
      <c r="X27" s="30">
        <f>Tabela4[[#This Row],[Realizado
Mar]]-Tabela4[[#This Row],[Orçado
Mar]]</f>
        <v>8082</v>
      </c>
      <c r="Y27" s="39">
        <f t="shared" si="2"/>
        <v>0.15078358208955223</v>
      </c>
      <c r="Z27" s="28">
        <v>53600</v>
      </c>
      <c r="AA27" s="28">
        <v>0</v>
      </c>
      <c r="AB27" s="30">
        <f>Tabela4[[#This Row],[Realizado
Abr]]-Tabela4[[#This Row],[Orçado
Abr]]</f>
        <v>-53600</v>
      </c>
      <c r="AC27" s="39">
        <f t="shared" si="3"/>
        <v>-1</v>
      </c>
      <c r="AD27" s="28">
        <v>53600</v>
      </c>
      <c r="AE27" s="28">
        <v>0</v>
      </c>
      <c r="AF27" s="30">
        <f>Tabela4[[#This Row],[Realizado
Mai]]-Tabela4[[#This Row],[Orçado
Mai]]</f>
        <v>-53600</v>
      </c>
      <c r="AG27" s="38">
        <f t="shared" si="4"/>
        <v>-1</v>
      </c>
      <c r="AH27" s="28">
        <v>53600</v>
      </c>
      <c r="AI27" s="28">
        <v>0</v>
      </c>
      <c r="AJ27" s="30">
        <f>Tabela4[[#This Row],[Realizado
Jun]]-Tabela4[[#This Row],[Orçado
Jun]]</f>
        <v>-53600</v>
      </c>
      <c r="AK27" s="38">
        <f t="shared" si="5"/>
        <v>-1</v>
      </c>
      <c r="AL27" s="28">
        <v>53600</v>
      </c>
      <c r="AM27" s="28">
        <v>0</v>
      </c>
      <c r="AN27" s="30">
        <f>Tabela4[[#This Row],[Realizado
Jul]]-Tabela4[[#This Row],[Orçado
Jul]]</f>
        <v>-53600</v>
      </c>
      <c r="AO27" s="38">
        <f t="shared" si="6"/>
        <v>-1</v>
      </c>
      <c r="AP27" s="28">
        <v>53600</v>
      </c>
      <c r="AQ27" s="28">
        <v>0</v>
      </c>
      <c r="AR27" s="29">
        <f>Tabela4[[#This Row],[Realizado
Ago]]-Tabela4[[#This Row],[Orçado
Ago]]</f>
        <v>-53600</v>
      </c>
      <c r="AS27" s="38">
        <f t="shared" si="7"/>
        <v>-1</v>
      </c>
      <c r="AT27" s="28">
        <v>53600</v>
      </c>
      <c r="AU27" s="28">
        <v>0</v>
      </c>
      <c r="AV27" s="29">
        <f>Tabela4[[#This Row],[Realizado
Set]]-Tabela4[[#This Row],[Orçado
Set]]</f>
        <v>-53600</v>
      </c>
      <c r="AW27" s="38">
        <f t="shared" si="8"/>
        <v>-1</v>
      </c>
      <c r="AX27" s="28">
        <v>53600</v>
      </c>
      <c r="AY27" s="28">
        <v>0</v>
      </c>
      <c r="AZ27" s="29">
        <f>Tabela4[[#This Row],[Realizado
Out]]-Tabela4[[#This Row],[Orçado
Out]]</f>
        <v>-53600</v>
      </c>
      <c r="BA27" s="38">
        <f t="shared" si="9"/>
        <v>-1</v>
      </c>
      <c r="BB27" s="28">
        <v>53600</v>
      </c>
      <c r="BC27" s="28">
        <v>0</v>
      </c>
      <c r="BD27" s="29">
        <f>Tabela4[[#This Row],[Realizado
Nov]]-Tabela4[[#This Row],[Orçado
Nov]]</f>
        <v>-53600</v>
      </c>
      <c r="BE27" s="38">
        <f t="shared" si="10"/>
        <v>-1</v>
      </c>
      <c r="BF27" s="28">
        <v>53600</v>
      </c>
      <c r="BG27" s="57">
        <v>0</v>
      </c>
      <c r="BH27" s="29">
        <f>Tabela4[[#This Row],[Realizado
Dez]]-Tabela4[[#This Row],[Orçado
Dez]]</f>
        <v>-53600</v>
      </c>
      <c r="BI27" s="38">
        <f t="shared" si="11"/>
        <v>-1</v>
      </c>
      <c r="BJ27" s="29">
        <f t="shared" si="12"/>
        <v>643200</v>
      </c>
      <c r="BK27" s="29">
        <f t="shared" si="13"/>
        <v>190168.11</v>
      </c>
      <c r="BL27" s="34">
        <f t="shared" si="14"/>
        <v>-444949.89</v>
      </c>
      <c r="BM27" s="42">
        <f t="shared" si="15"/>
        <v>-0.70434062500000005</v>
      </c>
      <c r="BN27" s="36">
        <f>Tabela4[[#This Row],[Total Orçado
Ano]]-Tabela4[[#This Row],[Total Realizado
Ano]]</f>
        <v>453031.89</v>
      </c>
      <c r="BO27" s="36">
        <f>Tabela4[[#This Row],[Total Orçado
Ano]]-Tabela4[[#This Row],[Total Realizado
Ano]]</f>
        <v>453031.89</v>
      </c>
    </row>
    <row r="28" spans="1:67" s="23" customFormat="1" ht="12" x14ac:dyDescent="0.2">
      <c r="A28" s="25">
        <v>2026</v>
      </c>
      <c r="B28" s="14" t="s">
        <v>92</v>
      </c>
      <c r="C28" s="14" t="s">
        <v>139</v>
      </c>
      <c r="D28" s="23" t="s">
        <v>93</v>
      </c>
      <c r="E28" s="23" t="s">
        <v>2</v>
      </c>
      <c r="F28" s="23" t="s">
        <v>199</v>
      </c>
      <c r="H28" s="23" t="s">
        <v>111</v>
      </c>
      <c r="J28" s="23" t="s">
        <v>86</v>
      </c>
      <c r="K28" s="23" t="s">
        <v>96</v>
      </c>
      <c r="L28" s="23" t="s">
        <v>90</v>
      </c>
      <c r="M28" s="60" t="s">
        <v>282</v>
      </c>
      <c r="N28" s="28">
        <v>1300</v>
      </c>
      <c r="O28" s="28">
        <v>2037.07</v>
      </c>
      <c r="P28" s="30">
        <f>Tabela4[[#This Row],[Realizado
Jan]]-Tabela4[[#This Row],[Orçado
Jan]]</f>
        <v>737.06999999999994</v>
      </c>
      <c r="Q28" s="39">
        <f t="shared" si="0"/>
        <v>0.56697692307692305</v>
      </c>
      <c r="R28" s="28">
        <v>1300</v>
      </c>
      <c r="S28" s="28">
        <v>2172.0700000000002</v>
      </c>
      <c r="T28" s="30">
        <f>Tabela4[[#This Row],[Realizado
Fev]]-Tabela4[[#This Row],[Orçado
Fev]]</f>
        <v>872.07000000000016</v>
      </c>
      <c r="U28" s="39">
        <f t="shared" si="1"/>
        <v>0.67082307692307708</v>
      </c>
      <c r="V28" s="28">
        <v>1300</v>
      </c>
      <c r="W28" s="28">
        <v>2208.6</v>
      </c>
      <c r="X28" s="30">
        <f>Tabela4[[#This Row],[Realizado
Mar]]-Tabela4[[#This Row],[Orçado
Mar]]</f>
        <v>908.59999999999991</v>
      </c>
      <c r="Y28" s="39">
        <f t="shared" si="2"/>
        <v>0.69892307692307687</v>
      </c>
      <c r="Z28" s="28">
        <v>1300</v>
      </c>
      <c r="AA28" s="28">
        <v>0</v>
      </c>
      <c r="AB28" s="30">
        <f>Tabela4[[#This Row],[Realizado
Abr]]-Tabela4[[#This Row],[Orçado
Abr]]</f>
        <v>-1300</v>
      </c>
      <c r="AC28" s="39">
        <f t="shared" si="3"/>
        <v>-1</v>
      </c>
      <c r="AD28" s="28">
        <v>1300</v>
      </c>
      <c r="AE28" s="28">
        <v>0</v>
      </c>
      <c r="AF28" s="30">
        <f>Tabela4[[#This Row],[Realizado
Mai]]-Tabela4[[#This Row],[Orçado
Mai]]</f>
        <v>-1300</v>
      </c>
      <c r="AG28" s="38">
        <f t="shared" si="4"/>
        <v>-1</v>
      </c>
      <c r="AH28" s="28">
        <v>1300</v>
      </c>
      <c r="AI28" s="28">
        <v>0</v>
      </c>
      <c r="AJ28" s="30">
        <f>Tabela4[[#This Row],[Realizado
Jun]]-Tabela4[[#This Row],[Orçado
Jun]]</f>
        <v>-1300</v>
      </c>
      <c r="AK28" s="38">
        <f t="shared" si="5"/>
        <v>-1</v>
      </c>
      <c r="AL28" s="28">
        <v>1300</v>
      </c>
      <c r="AM28" s="28">
        <v>0</v>
      </c>
      <c r="AN28" s="30">
        <f>Tabela4[[#This Row],[Realizado
Jul]]-Tabela4[[#This Row],[Orçado
Jul]]</f>
        <v>-1300</v>
      </c>
      <c r="AO28" s="38">
        <f t="shared" si="6"/>
        <v>-1</v>
      </c>
      <c r="AP28" s="28">
        <v>1300</v>
      </c>
      <c r="AQ28" s="28">
        <v>0</v>
      </c>
      <c r="AR28" s="29">
        <f>Tabela4[[#This Row],[Realizado
Ago]]-Tabela4[[#This Row],[Orçado
Ago]]</f>
        <v>-1300</v>
      </c>
      <c r="AS28" s="38">
        <f t="shared" si="7"/>
        <v>-1</v>
      </c>
      <c r="AT28" s="28">
        <v>1300</v>
      </c>
      <c r="AU28" s="28">
        <v>0</v>
      </c>
      <c r="AV28" s="29">
        <f>Tabela4[[#This Row],[Realizado
Set]]-Tabela4[[#This Row],[Orçado
Set]]</f>
        <v>-1300</v>
      </c>
      <c r="AW28" s="38">
        <f t="shared" si="8"/>
        <v>-1</v>
      </c>
      <c r="AX28" s="28">
        <v>1300</v>
      </c>
      <c r="AY28" s="28">
        <v>0</v>
      </c>
      <c r="AZ28" s="29">
        <f>Tabela4[[#This Row],[Realizado
Out]]-Tabela4[[#This Row],[Orçado
Out]]</f>
        <v>-1300</v>
      </c>
      <c r="BA28" s="38">
        <f t="shared" si="9"/>
        <v>-1</v>
      </c>
      <c r="BB28" s="28">
        <v>1300</v>
      </c>
      <c r="BC28" s="28">
        <v>0</v>
      </c>
      <c r="BD28" s="29">
        <f>Tabela4[[#This Row],[Realizado
Nov]]-Tabela4[[#This Row],[Orçado
Nov]]</f>
        <v>-1300</v>
      </c>
      <c r="BE28" s="38">
        <f t="shared" si="10"/>
        <v>-1</v>
      </c>
      <c r="BF28" s="28">
        <v>1300</v>
      </c>
      <c r="BG28" s="57">
        <v>0</v>
      </c>
      <c r="BH28" s="29">
        <f>Tabela4[[#This Row],[Realizado
Dez]]-Tabela4[[#This Row],[Orçado
Dez]]</f>
        <v>-1300</v>
      </c>
      <c r="BI28" s="38">
        <f t="shared" si="11"/>
        <v>-1</v>
      </c>
      <c r="BJ28" s="29">
        <f t="shared" si="12"/>
        <v>15600</v>
      </c>
      <c r="BK28" s="29">
        <f t="shared" si="13"/>
        <v>6417.74</v>
      </c>
      <c r="BL28" s="34">
        <f t="shared" si="14"/>
        <v>-8273.66</v>
      </c>
      <c r="BM28" s="42">
        <f t="shared" si="15"/>
        <v>-0.58860641025641025</v>
      </c>
      <c r="BN28" s="36">
        <f>Tabela4[[#This Row],[Total Orçado
Ano]]-Tabela4[[#This Row],[Total Realizado
Ano]]</f>
        <v>9182.26</v>
      </c>
      <c r="BO28" s="36">
        <f>Tabela4[[#This Row],[Total Orçado
Ano]]-Tabela4[[#This Row],[Total Realizado
Ano]]</f>
        <v>9182.26</v>
      </c>
    </row>
    <row r="29" spans="1:67" s="23" customFormat="1" ht="12" x14ac:dyDescent="0.2">
      <c r="A29" s="25">
        <v>2026</v>
      </c>
      <c r="B29" s="14" t="s">
        <v>92</v>
      </c>
      <c r="C29" s="14" t="s">
        <v>139</v>
      </c>
      <c r="D29" s="23" t="s">
        <v>93</v>
      </c>
      <c r="E29" s="23" t="s">
        <v>2</v>
      </c>
      <c r="F29" s="23" t="s">
        <v>200</v>
      </c>
      <c r="H29" s="23" t="s">
        <v>112</v>
      </c>
      <c r="J29" s="23" t="s">
        <v>86</v>
      </c>
      <c r="K29" s="23" t="s">
        <v>96</v>
      </c>
      <c r="L29" s="23" t="s">
        <v>90</v>
      </c>
      <c r="M29" s="23" t="s">
        <v>286</v>
      </c>
      <c r="N29" s="28">
        <v>0</v>
      </c>
      <c r="O29" s="28">
        <v>610.79999999999995</v>
      </c>
      <c r="P29" s="30">
        <f>Tabela4[[#This Row],[Realizado
Jan]]-Tabela4[[#This Row],[Orçado
Jan]]</f>
        <v>610.79999999999995</v>
      </c>
      <c r="Q29" s="39" t="str">
        <f t="shared" si="0"/>
        <v>-</v>
      </c>
      <c r="R29" s="28">
        <v>0</v>
      </c>
      <c r="S29" s="28">
        <v>0</v>
      </c>
      <c r="T29" s="30">
        <f>Tabela4[[#This Row],[Realizado
Fev]]-Tabela4[[#This Row],[Orçado
Fev]]</f>
        <v>0</v>
      </c>
      <c r="U29" s="39" t="str">
        <f t="shared" si="1"/>
        <v>-</v>
      </c>
      <c r="V29" s="28"/>
      <c r="W29" s="28">
        <v>0</v>
      </c>
      <c r="X29" s="30">
        <f>Tabela4[[#This Row],[Realizado
Mar]]-Tabela4[[#This Row],[Orçado
Mar]]</f>
        <v>0</v>
      </c>
      <c r="Y29" s="39" t="str">
        <f t="shared" si="2"/>
        <v>-</v>
      </c>
      <c r="Z29" s="28">
        <v>0</v>
      </c>
      <c r="AA29" s="28">
        <v>0</v>
      </c>
      <c r="AB29" s="30">
        <f>Tabela4[[#This Row],[Realizado
Abr]]-Tabela4[[#This Row],[Orçado
Abr]]</f>
        <v>0</v>
      </c>
      <c r="AC29" s="39" t="str">
        <f t="shared" si="3"/>
        <v>-</v>
      </c>
      <c r="AD29" s="28">
        <v>0</v>
      </c>
      <c r="AE29" s="28">
        <v>0</v>
      </c>
      <c r="AF29" s="30">
        <f>Tabela4[[#This Row],[Realizado
Mai]]-Tabela4[[#This Row],[Orçado
Mai]]</f>
        <v>0</v>
      </c>
      <c r="AG29" s="38" t="str">
        <f t="shared" si="4"/>
        <v>-</v>
      </c>
      <c r="AH29" s="28">
        <v>0</v>
      </c>
      <c r="AI29" s="62" t="s">
        <v>283</v>
      </c>
      <c r="AJ29" s="30" t="e">
        <f>Tabela4[[#This Row],[Realizado
Jun]]-Tabela4[[#This Row],[Orçado
Jun]]</f>
        <v>#VALUE!</v>
      </c>
      <c r="AK29" s="38" t="str">
        <f t="shared" si="5"/>
        <v>-</v>
      </c>
      <c r="AL29" s="28">
        <v>0</v>
      </c>
      <c r="AM29" s="28">
        <v>0</v>
      </c>
      <c r="AN29" s="30">
        <f>Tabela4[[#This Row],[Realizado
Jul]]-Tabela4[[#This Row],[Orçado
Jul]]</f>
        <v>0</v>
      </c>
      <c r="AO29" s="38" t="str">
        <f t="shared" si="6"/>
        <v>-</v>
      </c>
      <c r="AP29" s="28">
        <v>0</v>
      </c>
      <c r="AQ29" s="28">
        <v>0</v>
      </c>
      <c r="AR29" s="29">
        <f>Tabela4[[#This Row],[Realizado
Ago]]-Tabela4[[#This Row],[Orçado
Ago]]</f>
        <v>0</v>
      </c>
      <c r="AS29" s="38" t="str">
        <f t="shared" si="7"/>
        <v>-</v>
      </c>
      <c r="AT29" s="28">
        <v>0</v>
      </c>
      <c r="AU29" s="28">
        <v>0</v>
      </c>
      <c r="AV29" s="29">
        <f>Tabela4[[#This Row],[Realizado
Set]]-Tabela4[[#This Row],[Orçado
Set]]</f>
        <v>0</v>
      </c>
      <c r="AW29" s="38" t="str">
        <f t="shared" si="8"/>
        <v>-</v>
      </c>
      <c r="AX29" s="28">
        <v>0</v>
      </c>
      <c r="AY29" s="28">
        <v>0</v>
      </c>
      <c r="AZ29" s="29">
        <f>Tabela4[[#This Row],[Realizado
Out]]-Tabela4[[#This Row],[Orçado
Out]]</f>
        <v>0</v>
      </c>
      <c r="BA29" s="38" t="str">
        <f t="shared" si="9"/>
        <v>-</v>
      </c>
      <c r="BB29" s="28">
        <v>0</v>
      </c>
      <c r="BC29" s="28">
        <v>0</v>
      </c>
      <c r="BD29" s="29">
        <f>Tabela4[[#This Row],[Realizado
Nov]]-Tabela4[[#This Row],[Orçado
Nov]]</f>
        <v>0</v>
      </c>
      <c r="BE29" s="38" t="str">
        <f t="shared" si="10"/>
        <v>-</v>
      </c>
      <c r="BF29" s="28">
        <v>0</v>
      </c>
      <c r="BG29" s="57">
        <v>0</v>
      </c>
      <c r="BH29" s="29">
        <f>Tabela4[[#This Row],[Realizado
Dez]]-Tabela4[[#This Row],[Orçado
Dez]]</f>
        <v>0</v>
      </c>
      <c r="BI29" s="38" t="str">
        <f t="shared" si="11"/>
        <v>-</v>
      </c>
      <c r="BJ29" s="29">
        <f t="shared" si="12"/>
        <v>0</v>
      </c>
      <c r="BK29" s="29">
        <f t="shared" si="13"/>
        <v>610.79999999999995</v>
      </c>
      <c r="BL29" s="34" t="e">
        <f t="shared" si="14"/>
        <v>#VALUE!</v>
      </c>
      <c r="BM29" s="42" t="str">
        <f t="shared" si="15"/>
        <v>-</v>
      </c>
      <c r="BN29" s="36">
        <f>Tabela4[[#This Row],[Total Orçado
Ano]]-Tabela4[[#This Row],[Total Realizado
Ano]]</f>
        <v>-610.79999999999995</v>
      </c>
      <c r="BO29" s="36">
        <f>Tabela4[[#This Row],[Total Orçado
Ano]]-Tabela4[[#This Row],[Total Realizado
Ano]]</f>
        <v>-610.79999999999995</v>
      </c>
    </row>
    <row r="30" spans="1:67" s="23" customFormat="1" ht="12" x14ac:dyDescent="0.2">
      <c r="A30" s="25">
        <v>2026</v>
      </c>
      <c r="B30" s="14" t="s">
        <v>92</v>
      </c>
      <c r="C30" s="14" t="s">
        <v>143</v>
      </c>
      <c r="D30" s="23" t="s">
        <v>93</v>
      </c>
      <c r="E30" s="23" t="s">
        <v>18</v>
      </c>
      <c r="F30" s="23" t="s">
        <v>241</v>
      </c>
      <c r="H30" s="23" t="s">
        <v>133</v>
      </c>
      <c r="J30" s="23" t="s">
        <v>86</v>
      </c>
      <c r="K30" s="23" t="s">
        <v>96</v>
      </c>
      <c r="L30" s="23" t="s">
        <v>90</v>
      </c>
      <c r="M30" s="23" t="s">
        <v>284</v>
      </c>
      <c r="N30" s="28">
        <v>35000</v>
      </c>
      <c r="O30" s="28">
        <v>0</v>
      </c>
      <c r="P30" s="30">
        <f>Tabela4[[#This Row],[Realizado
Jan]]-Tabela4[[#This Row],[Orçado
Jan]]</f>
        <v>-35000</v>
      </c>
      <c r="Q30" s="39">
        <f t="shared" si="0"/>
        <v>-1</v>
      </c>
      <c r="R30" s="28">
        <v>35000</v>
      </c>
      <c r="S30" s="28">
        <v>10000</v>
      </c>
      <c r="T30" s="30">
        <f>Tabela4[[#This Row],[Realizado
Fev]]-Tabela4[[#This Row],[Orçado
Fev]]</f>
        <v>-25000</v>
      </c>
      <c r="U30" s="39">
        <f t="shared" si="1"/>
        <v>-0.7142857142857143</v>
      </c>
      <c r="V30" s="28">
        <v>35000</v>
      </c>
      <c r="W30" s="28">
        <v>23750</v>
      </c>
      <c r="X30" s="30">
        <f>Tabela4[[#This Row],[Realizado
Mar]]-Tabela4[[#This Row],[Orçado
Mar]]</f>
        <v>-11250</v>
      </c>
      <c r="Y30" s="39">
        <f t="shared" si="2"/>
        <v>-0.32142857142857145</v>
      </c>
      <c r="Z30" s="28">
        <v>35000</v>
      </c>
      <c r="AA30" s="28">
        <v>0</v>
      </c>
      <c r="AB30" s="30">
        <f>Tabela4[[#This Row],[Realizado
Abr]]-Tabela4[[#This Row],[Orçado
Abr]]</f>
        <v>-35000</v>
      </c>
      <c r="AC30" s="39">
        <f t="shared" si="3"/>
        <v>-1</v>
      </c>
      <c r="AD30" s="28">
        <v>35000</v>
      </c>
      <c r="AE30" s="28">
        <v>0</v>
      </c>
      <c r="AF30" s="30">
        <f>Tabela4[[#This Row],[Realizado
Mai]]-Tabela4[[#This Row],[Orçado
Mai]]</f>
        <v>-35000</v>
      </c>
      <c r="AG30" s="38">
        <f t="shared" si="4"/>
        <v>-1</v>
      </c>
      <c r="AH30" s="28">
        <v>35000</v>
      </c>
      <c r="AI30" s="28">
        <v>0</v>
      </c>
      <c r="AJ30" s="30">
        <f>Tabela4[[#This Row],[Realizado
Jun]]-Tabela4[[#This Row],[Orçado
Jun]]</f>
        <v>-35000</v>
      </c>
      <c r="AK30" s="38">
        <f t="shared" si="5"/>
        <v>-1</v>
      </c>
      <c r="AL30" s="28">
        <v>35000</v>
      </c>
      <c r="AM30" s="28">
        <v>0</v>
      </c>
      <c r="AN30" s="30">
        <f>Tabela4[[#This Row],[Realizado
Jul]]-Tabela4[[#This Row],[Orçado
Jul]]</f>
        <v>-35000</v>
      </c>
      <c r="AO30" s="38">
        <f t="shared" si="6"/>
        <v>-1</v>
      </c>
      <c r="AP30" s="28">
        <v>35000</v>
      </c>
      <c r="AQ30" s="28">
        <v>0</v>
      </c>
      <c r="AR30" s="29">
        <f>Tabela4[[#This Row],[Realizado
Ago]]-Tabela4[[#This Row],[Orçado
Ago]]</f>
        <v>-35000</v>
      </c>
      <c r="AS30" s="38">
        <f t="shared" si="7"/>
        <v>-1</v>
      </c>
      <c r="AT30" s="28">
        <v>35000</v>
      </c>
      <c r="AU30" s="28">
        <v>0</v>
      </c>
      <c r="AV30" s="29">
        <f>Tabela4[[#This Row],[Realizado
Set]]-Tabela4[[#This Row],[Orçado
Set]]</f>
        <v>-35000</v>
      </c>
      <c r="AW30" s="38">
        <f t="shared" si="8"/>
        <v>-1</v>
      </c>
      <c r="AX30" s="28">
        <v>35000</v>
      </c>
      <c r="AY30" s="28">
        <v>0</v>
      </c>
      <c r="AZ30" s="29">
        <f>Tabela4[[#This Row],[Realizado
Out]]-Tabela4[[#This Row],[Orçado
Out]]</f>
        <v>-35000</v>
      </c>
      <c r="BA30" s="38">
        <f t="shared" si="9"/>
        <v>-1</v>
      </c>
      <c r="BB30" s="28">
        <v>35000</v>
      </c>
      <c r="BC30" s="28">
        <v>0</v>
      </c>
      <c r="BD30" s="29">
        <f>Tabela4[[#This Row],[Realizado
Nov]]-Tabela4[[#This Row],[Orçado
Nov]]</f>
        <v>-35000</v>
      </c>
      <c r="BE30" s="38">
        <f t="shared" si="10"/>
        <v>-1</v>
      </c>
      <c r="BF30" s="28">
        <v>35000</v>
      </c>
      <c r="BG30" s="57">
        <v>0</v>
      </c>
      <c r="BH30" s="29">
        <f>Tabela4[[#This Row],[Realizado
Dez]]-Tabela4[[#This Row],[Orçado
Dez]]</f>
        <v>-35000</v>
      </c>
      <c r="BI30" s="38">
        <f t="shared" si="11"/>
        <v>-1</v>
      </c>
      <c r="BJ30" s="29">
        <f t="shared" si="12"/>
        <v>420000</v>
      </c>
      <c r="BK30" s="29">
        <f t="shared" si="13"/>
        <v>33750</v>
      </c>
      <c r="BL30" s="34">
        <f t="shared" si="14"/>
        <v>-397500</v>
      </c>
      <c r="BM30" s="42">
        <f t="shared" si="15"/>
        <v>-0.9196428571428571</v>
      </c>
      <c r="BN30" s="36">
        <f>Tabela4[[#This Row],[Total Orçado
Ano]]-Tabela4[[#This Row],[Total Realizado
Ano]]</f>
        <v>386250</v>
      </c>
      <c r="BO30" s="36">
        <f>Tabela4[[#This Row],[Total Orçado
Ano]]-Tabela4[[#This Row],[Total Realizado
Ano]]</f>
        <v>386250</v>
      </c>
    </row>
    <row r="31" spans="1:67" s="23" customFormat="1" ht="12" x14ac:dyDescent="0.2">
      <c r="A31" s="25">
        <v>2026</v>
      </c>
      <c r="B31" s="14" t="s">
        <v>92</v>
      </c>
      <c r="C31" s="14" t="s">
        <v>139</v>
      </c>
      <c r="D31" s="23" t="s">
        <v>93</v>
      </c>
      <c r="E31" s="23" t="s">
        <v>2</v>
      </c>
      <c r="F31" s="23" t="s">
        <v>216</v>
      </c>
      <c r="H31" s="23" t="s">
        <v>114</v>
      </c>
      <c r="J31" s="23" t="s">
        <v>86</v>
      </c>
      <c r="K31" s="23" t="s">
        <v>96</v>
      </c>
      <c r="L31" s="23" t="s">
        <v>90</v>
      </c>
      <c r="M31" s="23" t="s">
        <v>287</v>
      </c>
      <c r="N31" s="28">
        <v>0</v>
      </c>
      <c r="O31" s="28">
        <v>0</v>
      </c>
      <c r="P31" s="30">
        <f>Tabela4[[#This Row],[Realizado
Jan]]-Tabela4[[#This Row],[Orçado
Jan]]</f>
        <v>0</v>
      </c>
      <c r="Q31" s="39" t="str">
        <f t="shared" si="0"/>
        <v>-</v>
      </c>
      <c r="R31" s="28">
        <v>0</v>
      </c>
      <c r="S31" s="28">
        <v>0</v>
      </c>
      <c r="T31" s="30">
        <f>Tabela4[[#This Row],[Realizado
Fev]]-Tabela4[[#This Row],[Orçado
Fev]]</f>
        <v>0</v>
      </c>
      <c r="U31" s="39" t="str">
        <f t="shared" si="1"/>
        <v>-</v>
      </c>
      <c r="V31" s="28">
        <v>0</v>
      </c>
      <c r="W31" s="28">
        <v>0</v>
      </c>
      <c r="X31" s="30">
        <f>Tabela4[[#This Row],[Realizado
Mar]]-Tabela4[[#This Row],[Orçado
Mar]]</f>
        <v>0</v>
      </c>
      <c r="Y31" s="39" t="str">
        <f t="shared" si="2"/>
        <v>-</v>
      </c>
      <c r="Z31" s="28">
        <v>0</v>
      </c>
      <c r="AA31" s="28">
        <v>0</v>
      </c>
      <c r="AB31" s="30">
        <f>Tabela4[[#This Row],[Realizado
Abr]]-Tabela4[[#This Row],[Orçado
Abr]]</f>
        <v>0</v>
      </c>
      <c r="AC31" s="39" t="str">
        <f t="shared" si="3"/>
        <v>-</v>
      </c>
      <c r="AD31" s="28">
        <v>0</v>
      </c>
      <c r="AE31" s="28">
        <v>0</v>
      </c>
      <c r="AF31" s="30">
        <f>Tabela4[[#This Row],[Realizado
Mai]]-Tabela4[[#This Row],[Orçado
Mai]]</f>
        <v>0</v>
      </c>
      <c r="AG31" s="38" t="str">
        <f t="shared" si="4"/>
        <v>-</v>
      </c>
      <c r="AH31" s="28">
        <v>2027</v>
      </c>
      <c r="AI31" s="28">
        <v>0</v>
      </c>
      <c r="AJ31" s="30">
        <f>Tabela4[[#This Row],[Realizado
Jun]]-Tabela4[[#This Row],[Orçado
Jun]]</f>
        <v>-2027</v>
      </c>
      <c r="AK31" s="38">
        <f t="shared" si="5"/>
        <v>-1</v>
      </c>
      <c r="AL31" s="28">
        <v>0</v>
      </c>
      <c r="AM31" s="28">
        <v>0</v>
      </c>
      <c r="AN31" s="30">
        <f>Tabela4[[#This Row],[Realizado
Jul]]-Tabela4[[#This Row],[Orçado
Jul]]</f>
        <v>0</v>
      </c>
      <c r="AO31" s="38" t="str">
        <f t="shared" si="6"/>
        <v>-</v>
      </c>
      <c r="AP31" s="28">
        <v>0</v>
      </c>
      <c r="AQ31" s="28"/>
      <c r="AR31" s="29">
        <f>Tabela4[[#This Row],[Realizado
Ago]]-Tabela4[[#This Row],[Orçado
Ago]]</f>
        <v>0</v>
      </c>
      <c r="AS31" s="38" t="str">
        <f t="shared" si="7"/>
        <v>-</v>
      </c>
      <c r="AT31" s="28">
        <v>0</v>
      </c>
      <c r="AU31" s="28">
        <v>0</v>
      </c>
      <c r="AV31" s="29">
        <f>Tabela4[[#This Row],[Realizado
Set]]-Tabela4[[#This Row],[Orçado
Set]]</f>
        <v>0</v>
      </c>
      <c r="AW31" s="38" t="str">
        <f t="shared" si="8"/>
        <v>-</v>
      </c>
      <c r="AX31" s="28">
        <v>0</v>
      </c>
      <c r="AY31" s="28">
        <v>0</v>
      </c>
      <c r="AZ31" s="29">
        <f>Tabela4[[#This Row],[Realizado
Out]]-Tabela4[[#This Row],[Orçado
Out]]</f>
        <v>0</v>
      </c>
      <c r="BA31" s="38" t="str">
        <f t="shared" si="9"/>
        <v>-</v>
      </c>
      <c r="BB31" s="28">
        <v>0</v>
      </c>
      <c r="BC31" s="28">
        <v>0</v>
      </c>
      <c r="BD31" s="29">
        <f>Tabela4[[#This Row],[Realizado
Nov]]-Tabela4[[#This Row],[Orçado
Nov]]</f>
        <v>0</v>
      </c>
      <c r="BE31" s="38" t="str">
        <f t="shared" si="10"/>
        <v>-</v>
      </c>
      <c r="BF31" s="28">
        <v>0</v>
      </c>
      <c r="BG31" s="57">
        <v>0</v>
      </c>
      <c r="BH31" s="29">
        <f>Tabela4[[#This Row],[Realizado
Dez]]-Tabela4[[#This Row],[Orçado
Dez]]</f>
        <v>0</v>
      </c>
      <c r="BI31" s="38" t="str">
        <f t="shared" si="11"/>
        <v>-</v>
      </c>
      <c r="BJ31" s="29">
        <f t="shared" si="12"/>
        <v>2027</v>
      </c>
      <c r="BK31" s="29">
        <f t="shared" si="13"/>
        <v>0</v>
      </c>
      <c r="BL31" s="34">
        <f t="shared" si="14"/>
        <v>-2027</v>
      </c>
      <c r="BM31" s="42">
        <f t="shared" si="15"/>
        <v>-1</v>
      </c>
      <c r="BN31" s="36">
        <f>Tabela4[[#This Row],[Total Orçado
Ano]]-Tabela4[[#This Row],[Total Realizado
Ano]]</f>
        <v>2027</v>
      </c>
      <c r="BO31" s="36">
        <f>Tabela4[[#This Row],[Total Orçado
Ano]]-Tabela4[[#This Row],[Total Realizado
Ano]]</f>
        <v>2027</v>
      </c>
    </row>
    <row r="32" spans="1:67" s="23" customFormat="1" ht="12" x14ac:dyDescent="0.2">
      <c r="A32" s="25">
        <v>2026</v>
      </c>
      <c r="B32" s="14" t="s">
        <v>92</v>
      </c>
      <c r="C32" s="14" t="s">
        <v>139</v>
      </c>
      <c r="D32" s="23" t="s">
        <v>93</v>
      </c>
      <c r="E32" s="23" t="s">
        <v>2</v>
      </c>
      <c r="F32" s="23" t="s">
        <v>190</v>
      </c>
      <c r="G32" s="23" t="s">
        <v>252</v>
      </c>
      <c r="H32" s="23" t="s">
        <v>129</v>
      </c>
      <c r="J32" s="23" t="s">
        <v>86</v>
      </c>
      <c r="K32" s="23" t="s">
        <v>96</v>
      </c>
      <c r="L32" s="23" t="s">
        <v>90</v>
      </c>
      <c r="M32" s="23" t="s">
        <v>288</v>
      </c>
      <c r="N32" s="28">
        <v>0</v>
      </c>
      <c r="O32" s="28">
        <v>0</v>
      </c>
      <c r="P32" s="30">
        <f>Tabela4[[#This Row],[Realizado
Jan]]-Tabela4[[#This Row],[Orçado
Jan]]</f>
        <v>0</v>
      </c>
      <c r="Q32" s="39" t="str">
        <f t="shared" si="0"/>
        <v>-</v>
      </c>
      <c r="R32" s="28">
        <v>0</v>
      </c>
      <c r="S32" s="28">
        <v>0</v>
      </c>
      <c r="T32" s="30">
        <f>Tabela4[[#This Row],[Realizado
Fev]]-Tabela4[[#This Row],[Orçado
Fev]]</f>
        <v>0</v>
      </c>
      <c r="U32" s="39" t="str">
        <f t="shared" si="1"/>
        <v>-</v>
      </c>
      <c r="V32" s="28">
        <v>0</v>
      </c>
      <c r="W32" s="28">
        <v>0</v>
      </c>
      <c r="X32" s="30">
        <f>Tabela4[[#This Row],[Realizado
Mar]]-Tabela4[[#This Row],[Orçado
Mar]]</f>
        <v>0</v>
      </c>
      <c r="Y32" s="39" t="str">
        <f t="shared" si="2"/>
        <v>-</v>
      </c>
      <c r="Z32" s="28">
        <v>0</v>
      </c>
      <c r="AA32" s="28">
        <v>0</v>
      </c>
      <c r="AB32" s="30">
        <f>Tabela4[[#This Row],[Realizado
Abr]]-Tabela4[[#This Row],[Orçado
Abr]]</f>
        <v>0</v>
      </c>
      <c r="AC32" s="39" t="str">
        <f t="shared" si="3"/>
        <v>-</v>
      </c>
      <c r="AD32" s="28">
        <v>0</v>
      </c>
      <c r="AE32" s="28">
        <v>0</v>
      </c>
      <c r="AF32" s="30">
        <v>0</v>
      </c>
      <c r="AG32" s="38" t="str">
        <f t="shared" si="4"/>
        <v>-</v>
      </c>
      <c r="AH32" s="28">
        <v>0</v>
      </c>
      <c r="AI32" s="28">
        <v>0</v>
      </c>
      <c r="AJ32" s="30">
        <f>Tabela4[[#This Row],[Realizado
Jun]]-Tabela4[[#This Row],[Orçado
Jun]]</f>
        <v>0</v>
      </c>
      <c r="AK32" s="38" t="str">
        <f t="shared" si="5"/>
        <v>-</v>
      </c>
      <c r="AL32" s="28">
        <v>1600</v>
      </c>
      <c r="AM32" s="28">
        <v>0</v>
      </c>
      <c r="AN32" s="30">
        <f>Tabela4[[#This Row],[Realizado
Jul]]-Tabela4[[#This Row],[Orçado
Jul]]</f>
        <v>-1600</v>
      </c>
      <c r="AO32" s="38">
        <f t="shared" si="6"/>
        <v>-1</v>
      </c>
      <c r="AP32" s="28">
        <v>1600</v>
      </c>
      <c r="AQ32" s="28">
        <v>0</v>
      </c>
      <c r="AR32" s="29">
        <f>Tabela4[[#This Row],[Realizado
Ago]]-Tabela4[[#This Row],[Orçado
Ago]]</f>
        <v>-1600</v>
      </c>
      <c r="AS32" s="38">
        <f t="shared" si="7"/>
        <v>-1</v>
      </c>
      <c r="AT32" s="28">
        <v>1600</v>
      </c>
      <c r="AU32" s="28">
        <v>0</v>
      </c>
      <c r="AV32" s="29">
        <f>Tabela4[[#This Row],[Realizado
Set]]-Tabela4[[#This Row],[Orçado
Set]]</f>
        <v>-1600</v>
      </c>
      <c r="AW32" s="38">
        <f t="shared" si="8"/>
        <v>-1</v>
      </c>
      <c r="AX32" s="28">
        <v>1600</v>
      </c>
      <c r="AY32" s="28">
        <v>0</v>
      </c>
      <c r="AZ32" s="29">
        <f>Tabela4[[#This Row],[Realizado
Out]]-Tabela4[[#This Row],[Orçado
Out]]</f>
        <v>-1600</v>
      </c>
      <c r="BA32" s="38">
        <f t="shared" si="9"/>
        <v>-1</v>
      </c>
      <c r="BB32" s="28">
        <v>1600</v>
      </c>
      <c r="BC32" s="28">
        <v>0</v>
      </c>
      <c r="BD32" s="29">
        <f>Tabela4[[#This Row],[Realizado
Nov]]-Tabela4[[#This Row],[Orçado
Nov]]</f>
        <v>-1600</v>
      </c>
      <c r="BE32" s="38">
        <f t="shared" si="10"/>
        <v>-1</v>
      </c>
      <c r="BF32" s="28">
        <v>1600</v>
      </c>
      <c r="BG32" s="57">
        <v>0</v>
      </c>
      <c r="BH32" s="29">
        <f>Tabela4[[#This Row],[Realizado
Dez]]-Tabela4[[#This Row],[Orçado
Dez]]</f>
        <v>-1600</v>
      </c>
      <c r="BI32" s="38">
        <f t="shared" si="11"/>
        <v>-1</v>
      </c>
      <c r="BJ32" s="29">
        <f t="shared" si="12"/>
        <v>9600</v>
      </c>
      <c r="BK32" s="29">
        <f t="shared" si="13"/>
        <v>0</v>
      </c>
      <c r="BL32" s="34">
        <f t="shared" si="14"/>
        <v>-9600</v>
      </c>
      <c r="BM32" s="42">
        <f t="shared" si="15"/>
        <v>-1</v>
      </c>
      <c r="BN32" s="36">
        <f>Tabela4[[#This Row],[Total Orçado
Ano]]-Tabela4[[#This Row],[Total Realizado
Ano]]</f>
        <v>9600</v>
      </c>
      <c r="BO32" s="36">
        <f>Tabela4[[#This Row],[Total Orçado
Ano]]-Tabela4[[#This Row],[Total Realizado
Ano]]</f>
        <v>9600</v>
      </c>
    </row>
    <row r="33" spans="1:67" s="23" customFormat="1" ht="12" x14ac:dyDescent="0.2">
      <c r="A33" s="25">
        <v>2026</v>
      </c>
      <c r="B33" s="14" t="s">
        <v>92</v>
      </c>
      <c r="C33" s="14" t="s">
        <v>140</v>
      </c>
      <c r="D33" s="23" t="s">
        <v>93</v>
      </c>
      <c r="E33" s="23" t="s">
        <v>18</v>
      </c>
      <c r="F33" s="23" t="s">
        <v>218</v>
      </c>
      <c r="G33" s="23" t="s">
        <v>260</v>
      </c>
      <c r="H33" s="23" t="s">
        <v>129</v>
      </c>
      <c r="J33" s="23" t="s">
        <v>86</v>
      </c>
      <c r="K33" s="23" t="s">
        <v>96</v>
      </c>
      <c r="L33" s="23" t="s">
        <v>90</v>
      </c>
      <c r="M33" s="23" t="s">
        <v>289</v>
      </c>
      <c r="N33" s="28">
        <v>0</v>
      </c>
      <c r="O33" s="28">
        <v>0</v>
      </c>
      <c r="P33" s="30">
        <f>Tabela4[[#This Row],[Realizado
Jan]]-Tabela4[[#This Row],[Orçado
Jan]]</f>
        <v>0</v>
      </c>
      <c r="Q33" s="39" t="str">
        <f t="shared" si="0"/>
        <v>-</v>
      </c>
      <c r="R33" s="28"/>
      <c r="S33" s="28">
        <v>0</v>
      </c>
      <c r="T33" s="30">
        <f>Tabela4[[#This Row],[Realizado
Fev]]-Tabela4[[#This Row],[Orçado
Fev]]</f>
        <v>0</v>
      </c>
      <c r="U33" s="39" t="str">
        <f t="shared" si="1"/>
        <v>-</v>
      </c>
      <c r="V33" s="28">
        <v>0</v>
      </c>
      <c r="W33" s="28">
        <v>0</v>
      </c>
      <c r="X33" s="30">
        <f>Tabela4[[#This Row],[Realizado
Mar]]-Tabela4[[#This Row],[Orçado
Mar]]</f>
        <v>0</v>
      </c>
      <c r="Y33" s="39" t="str">
        <f t="shared" si="2"/>
        <v>-</v>
      </c>
      <c r="Z33" s="28">
        <v>0</v>
      </c>
      <c r="AA33" s="28">
        <v>0</v>
      </c>
      <c r="AB33" s="30">
        <f>Tabela4[[#This Row],[Realizado
Abr]]-Tabela4[[#This Row],[Orçado
Abr]]</f>
        <v>0</v>
      </c>
      <c r="AC33" s="39" t="str">
        <f t="shared" si="3"/>
        <v>-</v>
      </c>
      <c r="AD33" s="28">
        <v>0</v>
      </c>
      <c r="AE33" s="28">
        <v>0</v>
      </c>
      <c r="AF33" s="30">
        <f>Tabela4[[#This Row],[Realizado
Mai]]-Tabela4[[#This Row],[Orçado
Mai]]</f>
        <v>0</v>
      </c>
      <c r="AG33" s="38" t="str">
        <f t="shared" si="4"/>
        <v>-</v>
      </c>
      <c r="AH33" s="28">
        <v>0</v>
      </c>
      <c r="AI33" s="28">
        <v>0</v>
      </c>
      <c r="AJ33" s="30">
        <f>Tabela4[[#This Row],[Realizado
Jun]]-Tabela4[[#This Row],[Orçado
Jun]]</f>
        <v>0</v>
      </c>
      <c r="AK33" s="38" t="str">
        <f t="shared" si="5"/>
        <v>-</v>
      </c>
      <c r="AL33" s="28">
        <v>35000</v>
      </c>
      <c r="AM33" s="28">
        <v>0</v>
      </c>
      <c r="AN33" s="30">
        <f>Tabela4[[#This Row],[Realizado
Jul]]-Tabela4[[#This Row],[Orçado
Jul]]</f>
        <v>-35000</v>
      </c>
      <c r="AO33" s="38">
        <f t="shared" si="6"/>
        <v>-1</v>
      </c>
      <c r="AP33" s="28">
        <v>0</v>
      </c>
      <c r="AQ33" s="28">
        <v>0</v>
      </c>
      <c r="AR33" s="29">
        <f>Tabela4[[#This Row],[Realizado
Ago]]-Tabela4[[#This Row],[Orçado
Ago]]</f>
        <v>0</v>
      </c>
      <c r="AS33" s="38" t="str">
        <f t="shared" si="7"/>
        <v>-</v>
      </c>
      <c r="AT33" s="28">
        <v>0</v>
      </c>
      <c r="AU33" s="28">
        <v>0</v>
      </c>
      <c r="AV33" s="29">
        <f>Tabela4[[#This Row],[Realizado
Set]]-Tabela4[[#This Row],[Orçado
Set]]</f>
        <v>0</v>
      </c>
      <c r="AW33" s="38" t="str">
        <f t="shared" si="8"/>
        <v>-</v>
      </c>
      <c r="AX33" s="28">
        <v>0</v>
      </c>
      <c r="AY33" s="28">
        <v>0</v>
      </c>
      <c r="AZ33" s="29">
        <f>Tabela4[[#This Row],[Realizado
Out]]-Tabela4[[#This Row],[Orçado
Out]]</f>
        <v>0</v>
      </c>
      <c r="BA33" s="38" t="str">
        <f t="shared" si="9"/>
        <v>-</v>
      </c>
      <c r="BB33" s="28">
        <v>0</v>
      </c>
      <c r="BC33" s="28">
        <v>0</v>
      </c>
      <c r="BD33" s="29">
        <f>Tabela4[[#This Row],[Realizado
Nov]]-Tabela4[[#This Row],[Orçado
Nov]]</f>
        <v>0</v>
      </c>
      <c r="BE33" s="38" t="str">
        <f t="shared" si="10"/>
        <v>-</v>
      </c>
      <c r="BF33" s="28">
        <v>0</v>
      </c>
      <c r="BG33" s="57">
        <v>0</v>
      </c>
      <c r="BH33" s="29">
        <f>Tabela4[[#This Row],[Realizado
Dez]]-Tabela4[[#This Row],[Orçado
Dez]]</f>
        <v>0</v>
      </c>
      <c r="BI33" s="38" t="str">
        <f t="shared" si="11"/>
        <v>-</v>
      </c>
      <c r="BJ33" s="29">
        <f t="shared" si="12"/>
        <v>35000</v>
      </c>
      <c r="BK33" s="29">
        <f t="shared" si="13"/>
        <v>0</v>
      </c>
      <c r="BL33" s="34">
        <f t="shared" si="14"/>
        <v>-35000</v>
      </c>
      <c r="BM33" s="42">
        <f t="shared" si="15"/>
        <v>-1</v>
      </c>
      <c r="BN33" s="36">
        <f>Tabela4[[#This Row],[Total Orçado
Ano]]-Tabela4[[#This Row],[Total Realizado
Ano]]</f>
        <v>35000</v>
      </c>
      <c r="BO33" s="36">
        <f>Tabela4[[#This Row],[Total Orçado
Ano]]-Tabela4[[#This Row],[Total Realizado
Ano]]</f>
        <v>35000</v>
      </c>
    </row>
    <row r="34" spans="1:67" s="23" customFormat="1" ht="12" x14ac:dyDescent="0.2">
      <c r="A34" s="25">
        <v>2026</v>
      </c>
      <c r="B34" s="14" t="s">
        <v>92</v>
      </c>
      <c r="C34" s="14" t="s">
        <v>143</v>
      </c>
      <c r="D34" s="23" t="s">
        <v>93</v>
      </c>
      <c r="E34" s="23" t="s">
        <v>18</v>
      </c>
      <c r="F34" s="23" t="s">
        <v>219</v>
      </c>
      <c r="G34" s="23" t="s">
        <v>261</v>
      </c>
      <c r="H34" s="23" t="s">
        <v>129</v>
      </c>
      <c r="J34" s="23" t="s">
        <v>86</v>
      </c>
      <c r="K34" s="23" t="s">
        <v>96</v>
      </c>
      <c r="L34" s="23" t="s">
        <v>90</v>
      </c>
      <c r="M34" s="23" t="s">
        <v>290</v>
      </c>
      <c r="N34" s="28">
        <v>0</v>
      </c>
      <c r="O34" s="28">
        <v>0</v>
      </c>
      <c r="P34" s="30">
        <f>Tabela4[[#This Row],[Realizado
Jan]]-Tabela4[[#This Row],[Orçado
Jan]]</f>
        <v>0</v>
      </c>
      <c r="Q34" s="39" t="str">
        <f t="shared" si="0"/>
        <v>-</v>
      </c>
      <c r="R34" s="28">
        <v>0</v>
      </c>
      <c r="S34" s="28">
        <v>0</v>
      </c>
      <c r="T34" s="30">
        <f>Tabela4[[#This Row],[Realizado
Fev]]-Tabela4[[#This Row],[Orçado
Fev]]</f>
        <v>0</v>
      </c>
      <c r="U34" s="39" t="str">
        <f t="shared" si="1"/>
        <v>-</v>
      </c>
      <c r="V34" s="28">
        <v>0</v>
      </c>
      <c r="W34" s="28">
        <v>0</v>
      </c>
      <c r="X34" s="30">
        <f>Tabela4[[#This Row],[Realizado
Mar]]-Tabela4[[#This Row],[Orçado
Mar]]</f>
        <v>0</v>
      </c>
      <c r="Y34" s="39" t="str">
        <f t="shared" si="2"/>
        <v>-</v>
      </c>
      <c r="Z34" s="28">
        <v>0</v>
      </c>
      <c r="AA34" s="28">
        <v>0</v>
      </c>
      <c r="AB34" s="30">
        <f>Tabela4[[#This Row],[Realizado
Abr]]-Tabela4[[#This Row],[Orçado
Abr]]</f>
        <v>0</v>
      </c>
      <c r="AC34" s="39" t="str">
        <f t="shared" si="3"/>
        <v>-</v>
      </c>
      <c r="AD34" s="28">
        <v>0</v>
      </c>
      <c r="AE34" s="28">
        <v>0</v>
      </c>
      <c r="AF34" s="30">
        <f>Tabela4[[#This Row],[Realizado
Mai]]-Tabela4[[#This Row],[Orçado
Mai]]</f>
        <v>0</v>
      </c>
      <c r="AG34" s="38" t="str">
        <f t="shared" si="4"/>
        <v>-</v>
      </c>
      <c r="AH34" s="28">
        <v>0</v>
      </c>
      <c r="AI34" s="28">
        <v>0</v>
      </c>
      <c r="AJ34" s="30">
        <f>Tabela4[[#This Row],[Realizado
Jun]]-Tabela4[[#This Row],[Orçado
Jun]]</f>
        <v>0</v>
      </c>
      <c r="AK34" s="38" t="str">
        <f t="shared" si="5"/>
        <v>-</v>
      </c>
      <c r="AL34" s="28">
        <v>0</v>
      </c>
      <c r="AM34" s="28">
        <v>0</v>
      </c>
      <c r="AN34" s="30">
        <f>Tabela4[[#This Row],[Realizado
Jul]]-Tabela4[[#This Row],[Orçado
Jul]]</f>
        <v>0</v>
      </c>
      <c r="AO34" s="38" t="str">
        <f t="shared" si="6"/>
        <v>-</v>
      </c>
      <c r="AP34" s="28">
        <v>0</v>
      </c>
      <c r="AQ34" s="28"/>
      <c r="AR34" s="29">
        <f>Tabela4[[#This Row],[Realizado
Ago]]-Tabela4[[#This Row],[Orçado
Ago]]</f>
        <v>0</v>
      </c>
      <c r="AS34" s="38" t="str">
        <f t="shared" si="7"/>
        <v>-</v>
      </c>
      <c r="AT34" s="28">
        <v>0</v>
      </c>
      <c r="AU34" s="28">
        <v>0</v>
      </c>
      <c r="AV34" s="29">
        <f>Tabela4[[#This Row],[Realizado
Set]]-Tabela4[[#This Row],[Orçado
Set]]</f>
        <v>0</v>
      </c>
      <c r="AW34" s="38" t="str">
        <f t="shared" si="8"/>
        <v>-</v>
      </c>
      <c r="AX34" s="28">
        <v>0</v>
      </c>
      <c r="AY34" s="28">
        <v>0</v>
      </c>
      <c r="AZ34" s="29">
        <f>Tabela4[[#This Row],[Realizado
Out]]-Tabela4[[#This Row],[Orçado
Out]]</f>
        <v>0</v>
      </c>
      <c r="BA34" s="38" t="str">
        <f t="shared" si="9"/>
        <v>-</v>
      </c>
      <c r="BB34" s="28">
        <v>0</v>
      </c>
      <c r="BC34" s="28">
        <v>0</v>
      </c>
      <c r="BD34" s="29">
        <f>Tabela4[[#This Row],[Realizado
Nov]]-Tabela4[[#This Row],[Orçado
Nov]]</f>
        <v>0</v>
      </c>
      <c r="BE34" s="38" t="str">
        <f t="shared" si="10"/>
        <v>-</v>
      </c>
      <c r="BF34" s="28">
        <v>0</v>
      </c>
      <c r="BG34" s="57">
        <v>0</v>
      </c>
      <c r="BH34" s="29">
        <f>Tabela4[[#This Row],[Realizado
Dez]]-Tabela4[[#This Row],[Orçado
Dez]]</f>
        <v>0</v>
      </c>
      <c r="BI34" s="38" t="str">
        <f t="shared" si="11"/>
        <v>-</v>
      </c>
      <c r="BJ34" s="29">
        <f t="shared" si="12"/>
        <v>0</v>
      </c>
      <c r="BK34" s="29">
        <f t="shared" si="13"/>
        <v>0</v>
      </c>
      <c r="BL34" s="34">
        <f t="shared" si="14"/>
        <v>0</v>
      </c>
      <c r="BM34" s="42" t="str">
        <f t="shared" si="15"/>
        <v>-</v>
      </c>
      <c r="BN34" s="36">
        <f>Tabela4[[#This Row],[Total Orçado
Ano]]-Tabela4[[#This Row],[Total Realizado
Ano]]</f>
        <v>0</v>
      </c>
      <c r="BO34" s="36">
        <f>Tabela4[[#This Row],[Total Orçado
Ano]]-Tabela4[[#This Row],[Total Realizado
Ano]]</f>
        <v>0</v>
      </c>
    </row>
    <row r="35" spans="1:67" s="23" customFormat="1" ht="12" x14ac:dyDescent="0.2">
      <c r="A35" s="25">
        <v>2026</v>
      </c>
      <c r="B35" s="14" t="s">
        <v>92</v>
      </c>
      <c r="C35" s="14" t="s">
        <v>143</v>
      </c>
      <c r="D35" s="23" t="s">
        <v>93</v>
      </c>
      <c r="E35" s="23" t="s">
        <v>18</v>
      </c>
      <c r="F35" s="23" t="s">
        <v>221</v>
      </c>
      <c r="H35" s="23" t="s">
        <v>136</v>
      </c>
      <c r="J35" s="23" t="s">
        <v>86</v>
      </c>
      <c r="K35" s="23" t="s">
        <v>96</v>
      </c>
      <c r="L35" s="23" t="s">
        <v>90</v>
      </c>
      <c r="M35" s="23" t="s">
        <v>293</v>
      </c>
      <c r="N35" s="28">
        <v>13420</v>
      </c>
      <c r="O35" s="28">
        <v>13420</v>
      </c>
      <c r="P35" s="30">
        <f>Tabela4[[#This Row],[Realizado
Jan]]-Tabela4[[#This Row],[Orçado
Jan]]</f>
        <v>0</v>
      </c>
      <c r="Q35" s="39">
        <f t="shared" si="0"/>
        <v>0</v>
      </c>
      <c r="R35" s="28">
        <v>13420</v>
      </c>
      <c r="S35" s="28">
        <v>13420</v>
      </c>
      <c r="T35" s="30">
        <f>Tabela4[[#This Row],[Realizado
Fev]]-Tabela4[[#This Row],[Orçado
Fev]]</f>
        <v>0</v>
      </c>
      <c r="U35" s="39">
        <f t="shared" si="1"/>
        <v>0</v>
      </c>
      <c r="V35" s="28">
        <v>13420</v>
      </c>
      <c r="W35" s="28">
        <v>13420</v>
      </c>
      <c r="X35" s="30">
        <f>Tabela4[[#This Row],[Realizado
Mar]]-Tabela4[[#This Row],[Orçado
Mar]]</f>
        <v>0</v>
      </c>
      <c r="Y35" s="39">
        <f t="shared" si="2"/>
        <v>0</v>
      </c>
      <c r="Z35" s="28">
        <v>4467.78</v>
      </c>
      <c r="AA35" s="28">
        <v>4467.78</v>
      </c>
      <c r="AB35" s="30">
        <f>Tabela4[[#This Row],[Realizado
Abr]]-Tabela4[[#This Row],[Orçado
Abr]]</f>
        <v>0</v>
      </c>
      <c r="AC35" s="39">
        <f t="shared" si="3"/>
        <v>0</v>
      </c>
      <c r="AD35" s="28">
        <v>0</v>
      </c>
      <c r="AE35" s="28">
        <v>0</v>
      </c>
      <c r="AF35" s="30">
        <f>Tabela4[[#This Row],[Realizado
Mai]]-Tabela4[[#This Row],[Orçado
Mai]]</f>
        <v>0</v>
      </c>
      <c r="AG35" s="38" t="str">
        <f t="shared" si="4"/>
        <v>-</v>
      </c>
      <c r="AH35" s="28">
        <v>0</v>
      </c>
      <c r="AI35" s="28">
        <v>0</v>
      </c>
      <c r="AJ35" s="30">
        <f>Tabela4[[#This Row],[Realizado
Jun]]-Tabela4[[#This Row],[Orçado
Jun]]</f>
        <v>0</v>
      </c>
      <c r="AK35" s="38" t="str">
        <f t="shared" si="5"/>
        <v>-</v>
      </c>
      <c r="AL35" s="28">
        <v>140590.53</v>
      </c>
      <c r="AM35" s="28">
        <v>0</v>
      </c>
      <c r="AN35" s="30">
        <f>Tabela4[[#This Row],[Realizado
Jul]]-Tabela4[[#This Row],[Orçado
Jul]]</f>
        <v>-140590.53</v>
      </c>
      <c r="AO35" s="38">
        <f t="shared" si="6"/>
        <v>-1</v>
      </c>
      <c r="AP35" s="28">
        <v>140590.53</v>
      </c>
      <c r="AQ35" s="28"/>
      <c r="AR35" s="29">
        <f>Tabela4[[#This Row],[Realizado
Ago]]-Tabela4[[#This Row],[Orçado
Ago]]</f>
        <v>-140590.53</v>
      </c>
      <c r="AS35" s="38">
        <f t="shared" si="7"/>
        <v>-1</v>
      </c>
      <c r="AT35" s="28">
        <v>140590.53</v>
      </c>
      <c r="AU35" s="28">
        <v>0</v>
      </c>
      <c r="AV35" s="29">
        <f>Tabela4[[#This Row],[Realizado
Set]]-Tabela4[[#This Row],[Orçado
Set]]</f>
        <v>-140590.53</v>
      </c>
      <c r="AW35" s="38">
        <f t="shared" si="8"/>
        <v>-1</v>
      </c>
      <c r="AX35" s="28">
        <v>140590.53</v>
      </c>
      <c r="AY35" s="28">
        <v>0</v>
      </c>
      <c r="AZ35" s="29">
        <f>Tabela4[[#This Row],[Realizado
Out]]-Tabela4[[#This Row],[Orçado
Out]]</f>
        <v>-140590.53</v>
      </c>
      <c r="BA35" s="38">
        <f t="shared" si="9"/>
        <v>-1</v>
      </c>
      <c r="BB35" s="28">
        <v>140590.53</v>
      </c>
      <c r="BC35" s="28">
        <v>0</v>
      </c>
      <c r="BD35" s="29">
        <f>Tabela4[[#This Row],[Realizado
Nov]]-Tabela4[[#This Row],[Orçado
Nov]]</f>
        <v>-140590.53</v>
      </c>
      <c r="BE35" s="38">
        <f t="shared" si="10"/>
        <v>-1</v>
      </c>
      <c r="BF35" s="28">
        <v>140590.53</v>
      </c>
      <c r="BG35" s="57">
        <v>0</v>
      </c>
      <c r="BH35" s="29">
        <f>Tabela4[[#This Row],[Realizado
Dez]]-Tabela4[[#This Row],[Orçado
Dez]]</f>
        <v>-140590.53</v>
      </c>
      <c r="BI35" s="38">
        <f t="shared" si="11"/>
        <v>-1</v>
      </c>
      <c r="BJ35" s="29">
        <f t="shared" si="12"/>
        <v>888270.96000000008</v>
      </c>
      <c r="BK35" s="29">
        <f t="shared" si="13"/>
        <v>44727.78</v>
      </c>
      <c r="BL35" s="34">
        <f t="shared" si="14"/>
        <v>-843543.18</v>
      </c>
      <c r="BM35" s="42">
        <f t="shared" si="15"/>
        <v>-0.94964624307880108</v>
      </c>
      <c r="BN35" s="36">
        <f>Tabela4[[#This Row],[Total Orçado
Ano]]-Tabela4[[#This Row],[Total Realizado
Ano]]</f>
        <v>843543.18</v>
      </c>
      <c r="BO35" s="36">
        <f>Tabela4[[#This Row],[Total Orçado
Ano]]-Tabela4[[#This Row],[Total Realizado
Ano]]</f>
        <v>843543.18</v>
      </c>
    </row>
    <row r="36" spans="1:67" s="23" customFormat="1" ht="12" x14ac:dyDescent="0.2">
      <c r="A36" s="25">
        <v>2026</v>
      </c>
      <c r="B36" s="14" t="s">
        <v>92</v>
      </c>
      <c r="C36" s="14" t="s">
        <v>139</v>
      </c>
      <c r="D36" s="23" t="s">
        <v>93</v>
      </c>
      <c r="E36" s="23" t="s">
        <v>2</v>
      </c>
      <c r="F36" s="23" t="s">
        <v>227</v>
      </c>
      <c r="G36" s="23" t="s">
        <v>118</v>
      </c>
      <c r="H36" s="23" t="s">
        <v>119</v>
      </c>
      <c r="J36" s="23" t="s">
        <v>86</v>
      </c>
      <c r="K36" s="23" t="s">
        <v>96</v>
      </c>
      <c r="L36" s="23" t="s">
        <v>90</v>
      </c>
      <c r="M36" s="23" t="s">
        <v>291</v>
      </c>
      <c r="N36" s="28">
        <v>3443</v>
      </c>
      <c r="O36" s="28">
        <v>3251.48</v>
      </c>
      <c r="P36" s="30">
        <f>Tabela4[[#This Row],[Realizado
Jan]]-Tabela4[[#This Row],[Orçado
Jan]]</f>
        <v>-191.51999999999998</v>
      </c>
      <c r="Q36" s="39">
        <f t="shared" ref="Q36:Q67" si="16">IFERROR((O36-N36)/N36,"-")</f>
        <v>-5.5625907638687189E-2</v>
      </c>
      <c r="R36" s="28">
        <v>3443</v>
      </c>
      <c r="S36" s="28">
        <v>3543</v>
      </c>
      <c r="T36" s="30">
        <f>Tabela4[[#This Row],[Realizado
Fev]]-Tabela4[[#This Row],[Orçado
Fev]]</f>
        <v>100</v>
      </c>
      <c r="U36" s="39">
        <f t="shared" ref="U36:U67" si="17">IFERROR((S36-R36)/R36,"-")</f>
        <v>2.9044437990124891E-2</v>
      </c>
      <c r="V36" s="28">
        <v>3593</v>
      </c>
      <c r="W36" s="59">
        <v>6650.6</v>
      </c>
      <c r="X36" s="30">
        <f>Tabela4[[#This Row],[Realizado
Mar]]-Tabela4[[#This Row],[Orçado
Mar]]</f>
        <v>3057.6000000000004</v>
      </c>
      <c r="Y36" s="39">
        <f t="shared" ref="Y36:Y67" si="18">IFERROR((W36-V36)/V36,"-")</f>
        <v>0.85098803228499875</v>
      </c>
      <c r="Z36" s="28">
        <v>3593</v>
      </c>
      <c r="AA36" s="28">
        <v>0</v>
      </c>
      <c r="AB36" s="30">
        <f>Tabela4[[#This Row],[Realizado
Abr]]-Tabela4[[#This Row],[Orçado
Abr]]</f>
        <v>-3593</v>
      </c>
      <c r="AC36" s="39">
        <f t="shared" ref="AC36:AC67" si="19">IFERROR((AA36-Z36)/Z36,"-")</f>
        <v>-1</v>
      </c>
      <c r="AD36" s="28">
        <v>7187</v>
      </c>
      <c r="AE36" s="28">
        <v>0</v>
      </c>
      <c r="AF36" s="30">
        <f>Tabela4[[#This Row],[Realizado
Mai]]-Tabela4[[#This Row],[Orçado
Mai]]</f>
        <v>-7187</v>
      </c>
      <c r="AG36" s="38">
        <f t="shared" ref="AG36:AG67" si="20">IFERROR((AE36-AD36)/AD36,"-")</f>
        <v>-1</v>
      </c>
      <c r="AH36" s="28">
        <v>7187</v>
      </c>
      <c r="AI36" s="28">
        <v>0</v>
      </c>
      <c r="AJ36" s="30">
        <f>Tabela4[[#This Row],[Realizado
Jun]]-Tabela4[[#This Row],[Orçado
Jun]]</f>
        <v>-7187</v>
      </c>
      <c r="AK36" s="38">
        <f t="shared" ref="AK36:AK67" si="21">IFERROR((AI36-AH36)/AH36,"-")</f>
        <v>-1</v>
      </c>
      <c r="AL36" s="28">
        <v>0</v>
      </c>
      <c r="AM36" s="28">
        <v>0</v>
      </c>
      <c r="AN36" s="30">
        <f>Tabela4[[#This Row],[Realizado
Jul]]-Tabela4[[#This Row],[Orçado
Jul]]</f>
        <v>0</v>
      </c>
      <c r="AO36" s="38" t="str">
        <f t="shared" ref="AO36:AO67" si="22">IFERROR((AM36-AL36)/AL36,"-")</f>
        <v>-</v>
      </c>
      <c r="AP36" s="28">
        <v>0</v>
      </c>
      <c r="AQ36" s="28"/>
      <c r="AR36" s="29">
        <f>Tabela4[[#This Row],[Realizado
Ago]]-Tabela4[[#This Row],[Orçado
Ago]]</f>
        <v>0</v>
      </c>
      <c r="AS36" s="38" t="str">
        <f t="shared" ref="AS36:AS67" si="23">IFERROR((AQ36-AP36)/AP36,"-")</f>
        <v>-</v>
      </c>
      <c r="AT36" s="28">
        <v>0</v>
      </c>
      <c r="AU36" s="28">
        <v>0</v>
      </c>
      <c r="AV36" s="29">
        <f>Tabela4[[#This Row],[Realizado
Set]]-Tabela4[[#This Row],[Orçado
Set]]</f>
        <v>0</v>
      </c>
      <c r="AW36" s="38" t="str">
        <f t="shared" ref="AW36:AW67" si="24">IFERROR((AU36-AT36)/AT36,"-")</f>
        <v>-</v>
      </c>
      <c r="AX36" s="28">
        <v>0</v>
      </c>
      <c r="AY36" s="28">
        <v>0</v>
      </c>
      <c r="AZ36" s="29">
        <f>Tabela4[[#This Row],[Realizado
Out]]-Tabela4[[#This Row],[Orçado
Out]]</f>
        <v>0</v>
      </c>
      <c r="BA36" s="38" t="str">
        <f t="shared" ref="BA36:BA67" si="25">IFERROR((AY36-AX36)/AX36,"-")</f>
        <v>-</v>
      </c>
      <c r="BB36" s="28">
        <v>0</v>
      </c>
      <c r="BC36" s="28">
        <v>0</v>
      </c>
      <c r="BD36" s="29">
        <f>Tabela4[[#This Row],[Realizado
Nov]]-Tabela4[[#This Row],[Orçado
Nov]]</f>
        <v>0</v>
      </c>
      <c r="BE36" s="38" t="str">
        <f t="shared" ref="BE36:BE67" si="26">IFERROR((BC36-BB36)/BB36,"-")</f>
        <v>-</v>
      </c>
      <c r="BF36" s="28">
        <v>0</v>
      </c>
      <c r="BG36" s="57">
        <v>0</v>
      </c>
      <c r="BH36" s="29">
        <f>Tabela4[[#This Row],[Realizado
Dez]]-Tabela4[[#This Row],[Orçado
Dez]]</f>
        <v>0</v>
      </c>
      <c r="BI36" s="38" t="str">
        <f t="shared" ref="BI36:BI67" si="27">IFERROR((BG36-BF36)/BF36,"-")</f>
        <v>-</v>
      </c>
      <c r="BJ36" s="29">
        <f t="shared" ref="BJ36:BJ67" si="28">SUM(BF36,BB36,AX36,AT36,AP36,AL36,AH36,AD36,Z36,V36,R36,N36)</f>
        <v>28446</v>
      </c>
      <c r="BK36" s="29">
        <f t="shared" ref="BK36:BK67" si="29">SUM(BG36,BC36,AY36,AU36,AQ36,AM36,AI36,AE36,AA36,W36,S36,O36)</f>
        <v>13445.08</v>
      </c>
      <c r="BL36" s="34">
        <f t="shared" ref="BL36:BL67" si="30">SUM(BH36,BD36,AZ36,AV36,AR36,AN36,AJ36,AF36,AB36,X36,X36,T36,P36)</f>
        <v>-11943.32</v>
      </c>
      <c r="BM36" s="42">
        <f t="shared" ref="BM36:BM67" si="31">IFERROR((BK36-BJ36)/BJ36,"-")</f>
        <v>-0.52734725444702246</v>
      </c>
      <c r="BN36" s="36">
        <f>Tabela4[[#This Row],[Total Orçado
Ano]]-Tabela4[[#This Row],[Total Realizado
Ano]]</f>
        <v>15000.92</v>
      </c>
      <c r="BO36" s="36">
        <f>Tabela4[[#This Row],[Total Orçado
Ano]]-Tabela4[[#This Row],[Total Realizado
Ano]]</f>
        <v>15000.92</v>
      </c>
    </row>
    <row r="37" spans="1:67" s="23" customFormat="1" ht="12" x14ac:dyDescent="0.2">
      <c r="A37" s="13">
        <v>2026</v>
      </c>
      <c r="B37" s="14" t="s">
        <v>92</v>
      </c>
      <c r="C37" s="14" t="s">
        <v>139</v>
      </c>
      <c r="D37" s="14" t="s">
        <v>93</v>
      </c>
      <c r="E37" s="14" t="s">
        <v>2</v>
      </c>
      <c r="F37" s="14" t="s">
        <v>187</v>
      </c>
      <c r="G37" s="14"/>
      <c r="H37" s="14" t="s">
        <v>105</v>
      </c>
      <c r="I37" s="14"/>
      <c r="J37" s="14" t="s">
        <v>86</v>
      </c>
      <c r="K37" s="14" t="s">
        <v>96</v>
      </c>
      <c r="L37" s="23" t="s">
        <v>90</v>
      </c>
      <c r="M37" s="63" t="s">
        <v>294</v>
      </c>
      <c r="N37" s="27">
        <v>2520</v>
      </c>
      <c r="O37" s="27">
        <v>485.97</v>
      </c>
      <c r="P37" s="29">
        <f>Tabela4[[#This Row],[Realizado
Jan]]-Tabela4[[#This Row],[Orçado
Jan]]</f>
        <v>-2034.03</v>
      </c>
      <c r="Q37" s="38">
        <f t="shared" si="16"/>
        <v>-0.80715476190476187</v>
      </c>
      <c r="R37" s="27">
        <v>2520</v>
      </c>
      <c r="S37" s="27">
        <v>61895</v>
      </c>
      <c r="T37" s="29">
        <f>Tabela4[[#This Row],[Realizado
Fev]]-Tabela4[[#This Row],[Orçado
Fev]]</f>
        <v>59375</v>
      </c>
      <c r="U37" s="38">
        <f t="shared" si="17"/>
        <v>23.561507936507937</v>
      </c>
      <c r="V37" s="27">
        <v>2630</v>
      </c>
      <c r="W37" s="27">
        <v>7632.83</v>
      </c>
      <c r="X37" s="29">
        <f>Tabela4[[#This Row],[Realizado
Mar]]-Tabela4[[#This Row],[Orçado
Mar]]</f>
        <v>5002.83</v>
      </c>
      <c r="Y37" s="38">
        <f t="shared" si="18"/>
        <v>1.9022167300380228</v>
      </c>
      <c r="Z37" s="27">
        <v>2630</v>
      </c>
      <c r="AA37" s="27">
        <v>0</v>
      </c>
      <c r="AB37" s="29">
        <f>Tabela4[[#This Row],[Realizado
Abr]]-Tabela4[[#This Row],[Orçado
Abr]]</f>
        <v>-2630</v>
      </c>
      <c r="AC37" s="38">
        <f t="shared" si="19"/>
        <v>-1</v>
      </c>
      <c r="AD37" s="27">
        <v>2776</v>
      </c>
      <c r="AE37" s="27">
        <v>0</v>
      </c>
      <c r="AF37" s="29">
        <f>Tabela4[[#This Row],[Realizado
Mai]]-Tabela4[[#This Row],[Orçado
Mai]]</f>
        <v>-2776</v>
      </c>
      <c r="AG37" s="38">
        <f t="shared" si="20"/>
        <v>-1</v>
      </c>
      <c r="AH37" s="27">
        <v>2776</v>
      </c>
      <c r="AI37" s="27">
        <v>0</v>
      </c>
      <c r="AJ37" s="29">
        <f>Tabela4[[#This Row],[Realizado
Jun]]-Tabela4[[#This Row],[Orçado
Jun]]</f>
        <v>-2776</v>
      </c>
      <c r="AK37" s="38">
        <f t="shared" si="21"/>
        <v>-1</v>
      </c>
      <c r="AL37" s="27">
        <v>2776</v>
      </c>
      <c r="AM37" s="27">
        <v>0</v>
      </c>
      <c r="AN37" s="29">
        <f>Tabela4[[#This Row],[Realizado
Jul]]-Tabela4[[#This Row],[Orçado
Jul]]</f>
        <v>-2776</v>
      </c>
      <c r="AO37" s="38">
        <f t="shared" si="22"/>
        <v>-1</v>
      </c>
      <c r="AP37" s="27">
        <v>2776</v>
      </c>
      <c r="AQ37" s="27">
        <v>0</v>
      </c>
      <c r="AR37" s="29">
        <f>Tabela4[[#This Row],[Realizado
Ago]]-Tabela4[[#This Row],[Orçado
Ago]]</f>
        <v>-2776</v>
      </c>
      <c r="AS37" s="38">
        <f t="shared" si="23"/>
        <v>-1</v>
      </c>
      <c r="AT37" s="27">
        <v>2776</v>
      </c>
      <c r="AU37" s="27">
        <v>0</v>
      </c>
      <c r="AV37" s="29">
        <f>Tabela4[[#This Row],[Realizado
Set]]-Tabela4[[#This Row],[Orçado
Set]]</f>
        <v>-2776</v>
      </c>
      <c r="AW37" s="38">
        <f t="shared" si="24"/>
        <v>-1</v>
      </c>
      <c r="AX37" s="27">
        <v>2776</v>
      </c>
      <c r="AY37" s="27">
        <v>0</v>
      </c>
      <c r="AZ37" s="29">
        <f>Tabela4[[#This Row],[Realizado
Out]]-Tabela4[[#This Row],[Orçado
Out]]</f>
        <v>-2776</v>
      </c>
      <c r="BA37" s="38">
        <f t="shared" si="25"/>
        <v>-1</v>
      </c>
      <c r="BB37" s="27">
        <v>2776</v>
      </c>
      <c r="BC37" s="27">
        <v>0</v>
      </c>
      <c r="BD37" s="29">
        <f>Tabela4[[#This Row],[Realizado
Nov]]-Tabela4[[#This Row],[Orçado
Nov]]</f>
        <v>-2776</v>
      </c>
      <c r="BE37" s="38">
        <f t="shared" si="26"/>
        <v>-1</v>
      </c>
      <c r="BF37" s="27">
        <v>2776</v>
      </c>
      <c r="BG37" s="56">
        <v>0</v>
      </c>
      <c r="BH37" s="29">
        <f>Tabela4[[#This Row],[Realizado
Dez]]-Tabela4[[#This Row],[Orçado
Dez]]</f>
        <v>-2776</v>
      </c>
      <c r="BI37" s="38">
        <f t="shared" si="27"/>
        <v>-1</v>
      </c>
      <c r="BJ37" s="29">
        <f t="shared" si="28"/>
        <v>32508</v>
      </c>
      <c r="BK37" s="29">
        <f t="shared" si="29"/>
        <v>70013.8</v>
      </c>
      <c r="BL37" s="34">
        <f t="shared" si="30"/>
        <v>42508.630000000005</v>
      </c>
      <c r="BM37" s="42">
        <f t="shared" si="31"/>
        <v>1.1537406176941061</v>
      </c>
      <c r="BN37" s="27">
        <f>Tabela4[[#This Row],[Total Orçado
Ano]]-Tabela4[[#This Row],[Total Realizado
Ano]]</f>
        <v>-37505.800000000003</v>
      </c>
      <c r="BO37" s="36">
        <f>Tabela4[[#This Row],[Total Orçado
Ano]]-Tabela4[[#This Row],[Total Realizado
Ano]]</f>
        <v>-37505.800000000003</v>
      </c>
    </row>
    <row r="38" spans="1:67" s="23" customFormat="1" ht="12" x14ac:dyDescent="0.2">
      <c r="A38" s="25">
        <v>2026</v>
      </c>
      <c r="B38" s="14" t="s">
        <v>92</v>
      </c>
      <c r="C38" s="14" t="s">
        <v>141</v>
      </c>
      <c r="D38" s="23" t="s">
        <v>93</v>
      </c>
      <c r="E38" s="23" t="s">
        <v>3</v>
      </c>
      <c r="F38" s="23" t="s">
        <v>264</v>
      </c>
      <c r="G38" s="23" t="s">
        <v>267</v>
      </c>
      <c r="H38" s="23" t="s">
        <v>265</v>
      </c>
      <c r="J38" s="23" t="s">
        <v>86</v>
      </c>
      <c r="K38" s="23" t="s">
        <v>96</v>
      </c>
      <c r="L38" s="23" t="s">
        <v>90</v>
      </c>
      <c r="M38" s="55" t="s">
        <v>292</v>
      </c>
      <c r="N38" s="28">
        <v>20000</v>
      </c>
      <c r="O38" s="28">
        <f>3152+4190+2956.9</f>
        <v>10298.9</v>
      </c>
      <c r="P38" s="30">
        <f>Tabela4[[#This Row],[Realizado
Jan]]-Tabela4[[#This Row],[Orçado
Jan]]</f>
        <v>-9701.1</v>
      </c>
      <c r="Q38" s="39">
        <f t="shared" si="16"/>
        <v>-0.48505500000000001</v>
      </c>
      <c r="R38" s="28">
        <v>20000</v>
      </c>
      <c r="S38" s="28">
        <f>3152+4190+2956.9+12.9</f>
        <v>10311.799999999999</v>
      </c>
      <c r="T38" s="30">
        <f>Tabela4[[#This Row],[Realizado
Fev]]-Tabela4[[#This Row],[Orçado
Fev]]</f>
        <v>-9688.2000000000007</v>
      </c>
      <c r="U38" s="39">
        <f t="shared" si="17"/>
        <v>-0.48441000000000006</v>
      </c>
      <c r="V38" s="28">
        <v>20000</v>
      </c>
      <c r="W38" s="28">
        <f>3089+4190+2956.9+184.17</f>
        <v>10420.07</v>
      </c>
      <c r="X38" s="30">
        <f>Tabela4[[#This Row],[Realizado
Mar]]-Tabela4[[#This Row],[Orçado
Mar]]</f>
        <v>-9579.93</v>
      </c>
      <c r="Y38" s="39">
        <f t="shared" si="18"/>
        <v>-0.47899649999999999</v>
      </c>
      <c r="Z38" s="28">
        <v>20000</v>
      </c>
      <c r="AA38" s="28"/>
      <c r="AB38" s="30">
        <f>Tabela4[[#This Row],[Realizado
Abr]]-Tabela4[[#This Row],[Orçado
Abr]]</f>
        <v>-20000</v>
      </c>
      <c r="AC38" s="39">
        <f t="shared" si="19"/>
        <v>-1</v>
      </c>
      <c r="AD38" s="28">
        <v>20000</v>
      </c>
      <c r="AE38" s="28"/>
      <c r="AF38" s="30">
        <f>Tabela4[[#This Row],[Realizado
Mai]]-Tabela4[[#This Row],[Orçado
Mai]]</f>
        <v>-20000</v>
      </c>
      <c r="AG38" s="38">
        <f t="shared" si="20"/>
        <v>-1</v>
      </c>
      <c r="AH38" s="28">
        <v>26857.58</v>
      </c>
      <c r="AI38" s="28">
        <v>0</v>
      </c>
      <c r="AJ38" s="30">
        <f>Tabela4[[#This Row],[Realizado
Jun]]-Tabela4[[#This Row],[Orçado
Jun]]</f>
        <v>-26857.58</v>
      </c>
      <c r="AK38" s="38">
        <f t="shared" si="21"/>
        <v>-1</v>
      </c>
      <c r="AL38" s="28">
        <v>26857.58</v>
      </c>
      <c r="AM38" s="28">
        <v>0</v>
      </c>
      <c r="AN38" s="30">
        <f>Tabela4[[#This Row],[Realizado
Jul]]-Tabela4[[#This Row],[Orçado
Jul]]</f>
        <v>-26857.58</v>
      </c>
      <c r="AO38" s="38">
        <f t="shared" si="22"/>
        <v>-1</v>
      </c>
      <c r="AP38" s="28">
        <v>26857.58</v>
      </c>
      <c r="AQ38" s="28">
        <v>0</v>
      </c>
      <c r="AR38" s="29">
        <f>Tabela4[[#This Row],[Realizado
Ago]]-Tabela4[[#This Row],[Orçado
Ago]]</f>
        <v>-26857.58</v>
      </c>
      <c r="AS38" s="38">
        <f t="shared" si="23"/>
        <v>-1</v>
      </c>
      <c r="AT38" s="28">
        <v>26857.58</v>
      </c>
      <c r="AU38" s="28">
        <v>0</v>
      </c>
      <c r="AV38" s="29">
        <f>Tabela4[[#This Row],[Realizado
Set]]-Tabela4[[#This Row],[Orçado
Set]]</f>
        <v>-26857.58</v>
      </c>
      <c r="AW38" s="38">
        <f t="shared" si="24"/>
        <v>-1</v>
      </c>
      <c r="AX38" s="28">
        <v>26857.58</v>
      </c>
      <c r="AY38" s="28">
        <v>0</v>
      </c>
      <c r="AZ38" s="29">
        <f>Tabela4[[#This Row],[Realizado
Out]]-Tabela4[[#This Row],[Orçado
Out]]</f>
        <v>-26857.58</v>
      </c>
      <c r="BA38" s="38">
        <f t="shared" si="25"/>
        <v>-1</v>
      </c>
      <c r="BB38" s="28">
        <v>26857.58</v>
      </c>
      <c r="BC38" s="28">
        <v>0</v>
      </c>
      <c r="BD38" s="29">
        <f>Tabela4[[#This Row],[Realizado
Nov]]-Tabela4[[#This Row],[Orçado
Nov]]</f>
        <v>-26857.58</v>
      </c>
      <c r="BE38" s="38">
        <f t="shared" si="26"/>
        <v>-1</v>
      </c>
      <c r="BF38" s="28">
        <v>26857.58</v>
      </c>
      <c r="BG38" s="57">
        <v>0</v>
      </c>
      <c r="BH38" s="29">
        <f>Tabela4[[#This Row],[Realizado
Dez]]-Tabela4[[#This Row],[Orçado
Dez]]</f>
        <v>-26857.58</v>
      </c>
      <c r="BI38" s="38">
        <f t="shared" si="27"/>
        <v>-1</v>
      </c>
      <c r="BJ38" s="29">
        <f t="shared" si="28"/>
        <v>288003.06000000006</v>
      </c>
      <c r="BK38" s="29">
        <f t="shared" si="29"/>
        <v>31030.769999999997</v>
      </c>
      <c r="BL38" s="34">
        <f t="shared" si="30"/>
        <v>-266552.22000000003</v>
      </c>
      <c r="BM38" s="42">
        <f t="shared" si="31"/>
        <v>-0.89225541561954247</v>
      </c>
      <c r="BN38" s="36">
        <f>Tabela4[[#This Row],[Total Orçado
Ano]]-Tabela4[[#This Row],[Total Realizado
Ano]]</f>
        <v>256972.29000000007</v>
      </c>
      <c r="BO38" s="36">
        <f>Tabela4[[#This Row],[Total Orçado
Ano]]-Tabela4[[#This Row],[Total Realizado
Ano]]</f>
        <v>256972.29000000007</v>
      </c>
    </row>
    <row r="39" spans="1:67" s="23" customFormat="1" ht="12" x14ac:dyDescent="0.2">
      <c r="A39" s="25">
        <v>2026</v>
      </c>
      <c r="B39" s="14" t="s">
        <v>92</v>
      </c>
      <c r="C39" s="14" t="s">
        <v>139</v>
      </c>
      <c r="D39" s="23" t="s">
        <v>93</v>
      </c>
      <c r="E39" s="23" t="s">
        <v>2</v>
      </c>
      <c r="F39" s="23" t="s">
        <v>223</v>
      </c>
      <c r="H39" s="23" t="s">
        <v>117</v>
      </c>
      <c r="J39" s="23" t="s">
        <v>86</v>
      </c>
      <c r="K39" s="23" t="s">
        <v>96</v>
      </c>
      <c r="L39" s="23" t="s">
        <v>90</v>
      </c>
      <c r="M39" s="23" t="s">
        <v>295</v>
      </c>
      <c r="N39" s="28">
        <v>0</v>
      </c>
      <c r="O39" s="28">
        <v>0</v>
      </c>
      <c r="P39" s="30">
        <f>Tabela4[[#This Row],[Realizado
Jan]]-Tabela4[[#This Row],[Orçado
Jan]]</f>
        <v>0</v>
      </c>
      <c r="Q39" s="39" t="str">
        <f t="shared" si="16"/>
        <v>-</v>
      </c>
      <c r="R39" s="28">
        <v>46884</v>
      </c>
      <c r="S39" s="28">
        <v>46884</v>
      </c>
      <c r="T39" s="30">
        <f>Tabela4[[#This Row],[Realizado
Fev]]-Tabela4[[#This Row],[Orçado
Fev]]</f>
        <v>0</v>
      </c>
      <c r="U39" s="39">
        <f t="shared" si="17"/>
        <v>0</v>
      </c>
      <c r="V39" s="28">
        <v>0</v>
      </c>
      <c r="W39" s="28">
        <v>0</v>
      </c>
      <c r="X39" s="30">
        <f>Tabela4[[#This Row],[Realizado
Mar]]-Tabela4[[#This Row],[Orçado
Mar]]</f>
        <v>0</v>
      </c>
      <c r="Y39" s="39" t="str">
        <f t="shared" si="18"/>
        <v>-</v>
      </c>
      <c r="Z39" s="28">
        <v>0</v>
      </c>
      <c r="AA39" s="28">
        <v>0</v>
      </c>
      <c r="AB39" s="30">
        <f>Tabela4[[#This Row],[Realizado
Abr]]-Tabela4[[#This Row],[Orçado
Abr]]</f>
        <v>0</v>
      </c>
      <c r="AC39" s="39" t="str">
        <f t="shared" si="19"/>
        <v>-</v>
      </c>
      <c r="AD39" s="28">
        <v>56578</v>
      </c>
      <c r="AE39" s="28">
        <v>0</v>
      </c>
      <c r="AF39" s="30">
        <f>Tabela4[[#This Row],[Realizado
Mai]]-Tabela4[[#This Row],[Orçado
Mai]]</f>
        <v>-56578</v>
      </c>
      <c r="AG39" s="38">
        <f t="shared" si="20"/>
        <v>-1</v>
      </c>
      <c r="AH39" s="28">
        <v>0</v>
      </c>
      <c r="AI39" s="28">
        <v>0</v>
      </c>
      <c r="AJ39" s="30">
        <f>Tabela4[[#This Row],[Realizado
Jun]]-Tabela4[[#This Row],[Orçado
Jun]]</f>
        <v>0</v>
      </c>
      <c r="AK39" s="38" t="str">
        <f t="shared" si="21"/>
        <v>-</v>
      </c>
      <c r="AL39" s="28">
        <v>0</v>
      </c>
      <c r="AM39" s="28">
        <v>0</v>
      </c>
      <c r="AN39" s="30">
        <f>Tabela4[[#This Row],[Realizado
Jul]]-Tabela4[[#This Row],[Orçado
Jul]]</f>
        <v>0</v>
      </c>
      <c r="AO39" s="38" t="str">
        <f t="shared" si="22"/>
        <v>-</v>
      </c>
      <c r="AP39" s="28">
        <v>0</v>
      </c>
      <c r="AQ39" s="28"/>
      <c r="AR39" s="29">
        <f>Tabela4[[#This Row],[Realizado
Ago]]-Tabela4[[#This Row],[Orçado
Ago]]</f>
        <v>0</v>
      </c>
      <c r="AS39" s="38" t="str">
        <f t="shared" si="23"/>
        <v>-</v>
      </c>
      <c r="AT39" s="28">
        <v>0</v>
      </c>
      <c r="AU39" s="28">
        <v>0</v>
      </c>
      <c r="AV39" s="29">
        <f>Tabela4[[#This Row],[Realizado
Set]]-Tabela4[[#This Row],[Orçado
Set]]</f>
        <v>0</v>
      </c>
      <c r="AW39" s="38" t="str">
        <f t="shared" si="24"/>
        <v>-</v>
      </c>
      <c r="AX39" s="28">
        <v>0</v>
      </c>
      <c r="AY39" s="28">
        <v>0</v>
      </c>
      <c r="AZ39" s="29">
        <f>Tabela4[[#This Row],[Realizado
Out]]-Tabela4[[#This Row],[Orçado
Out]]</f>
        <v>0</v>
      </c>
      <c r="BA39" s="38" t="str">
        <f t="shared" si="25"/>
        <v>-</v>
      </c>
      <c r="BB39" s="28">
        <v>51731</v>
      </c>
      <c r="BC39" s="28">
        <v>0</v>
      </c>
      <c r="BD39" s="29">
        <f>Tabela4[[#This Row],[Realizado
Nov]]-Tabela4[[#This Row],[Orçado
Nov]]</f>
        <v>-51731</v>
      </c>
      <c r="BE39" s="38">
        <f t="shared" si="26"/>
        <v>-1</v>
      </c>
      <c r="BF39" s="28">
        <v>0</v>
      </c>
      <c r="BG39" s="57">
        <v>0</v>
      </c>
      <c r="BH39" s="29">
        <f>Tabela4[[#This Row],[Realizado
Dez]]-Tabela4[[#This Row],[Orçado
Dez]]</f>
        <v>0</v>
      </c>
      <c r="BI39" s="38" t="str">
        <f t="shared" si="27"/>
        <v>-</v>
      </c>
      <c r="BJ39" s="29">
        <f t="shared" si="28"/>
        <v>155193</v>
      </c>
      <c r="BK39" s="29">
        <f t="shared" si="29"/>
        <v>46884</v>
      </c>
      <c r="BL39" s="34">
        <f t="shared" si="30"/>
        <v>-108309</v>
      </c>
      <c r="BM39" s="42">
        <f t="shared" si="31"/>
        <v>-0.69789874543310593</v>
      </c>
      <c r="BN39" s="36">
        <f>Tabela4[[#This Row],[Total Orçado
Ano]]-Tabela4[[#This Row],[Total Realizado
Ano]]</f>
        <v>108309</v>
      </c>
      <c r="BO39" s="36">
        <f>Tabela4[[#This Row],[Total Orçado
Ano]]-Tabela4[[#This Row],[Total Realizado
Ano]]</f>
        <v>108309</v>
      </c>
    </row>
    <row r="40" spans="1:67" s="23" customFormat="1" ht="12" x14ac:dyDescent="0.2">
      <c r="A40" s="25">
        <v>2026</v>
      </c>
      <c r="B40" s="14" t="s">
        <v>92</v>
      </c>
      <c r="C40" s="14" t="s">
        <v>143</v>
      </c>
      <c r="D40" s="23" t="s">
        <v>93</v>
      </c>
      <c r="E40" s="23" t="s">
        <v>18</v>
      </c>
      <c r="F40" s="23" t="s">
        <v>226</v>
      </c>
      <c r="G40" s="23" t="s">
        <v>248</v>
      </c>
      <c r="H40" s="23" t="s">
        <v>137</v>
      </c>
      <c r="J40" s="23" t="s">
        <v>86</v>
      </c>
      <c r="K40" s="23" t="s">
        <v>96</v>
      </c>
      <c r="L40" s="23" t="s">
        <v>90</v>
      </c>
      <c r="M40" s="65" t="s">
        <v>296</v>
      </c>
      <c r="N40" s="28">
        <v>2700</v>
      </c>
      <c r="O40" s="28">
        <v>4050</v>
      </c>
      <c r="P40" s="30">
        <f>Tabela4[[#This Row],[Realizado
Jan]]-Tabela4[[#This Row],[Orçado
Jan]]</f>
        <v>1350</v>
      </c>
      <c r="Q40" s="39">
        <f t="shared" si="16"/>
        <v>0.5</v>
      </c>
      <c r="R40" s="28">
        <v>2700</v>
      </c>
      <c r="S40" s="28">
        <v>5300</v>
      </c>
      <c r="T40" s="30">
        <f>Tabela4[[#This Row],[Realizado
Fev]]-Tabela4[[#This Row],[Orçado
Fev]]</f>
        <v>2600</v>
      </c>
      <c r="U40" s="39">
        <f t="shared" si="17"/>
        <v>0.96296296296296291</v>
      </c>
      <c r="V40" s="28">
        <v>2700</v>
      </c>
      <c r="W40" s="59">
        <v>6769.85</v>
      </c>
      <c r="X40" s="30">
        <f>Tabela4[[#This Row],[Realizado
Mar]]-Tabela4[[#This Row],[Orçado
Mar]]</f>
        <v>4069.8500000000004</v>
      </c>
      <c r="Y40" s="39">
        <f t="shared" si="18"/>
        <v>1.5073518518518521</v>
      </c>
      <c r="Z40" s="28">
        <v>2700</v>
      </c>
      <c r="AA40" s="28">
        <v>0</v>
      </c>
      <c r="AB40" s="30">
        <f>Tabela4[[#This Row],[Realizado
Abr]]-Tabela4[[#This Row],[Orçado
Abr]]</f>
        <v>-2700</v>
      </c>
      <c r="AC40" s="39">
        <f t="shared" si="19"/>
        <v>-1</v>
      </c>
      <c r="AD40" s="28">
        <v>2700</v>
      </c>
      <c r="AE40" s="28">
        <v>0</v>
      </c>
      <c r="AF40" s="30">
        <f>Tabela4[[#This Row],[Realizado
Mai]]-Tabela4[[#This Row],[Orçado
Mai]]</f>
        <v>-2700</v>
      </c>
      <c r="AG40" s="38">
        <f t="shared" si="20"/>
        <v>-1</v>
      </c>
      <c r="AH40" s="28">
        <v>2700</v>
      </c>
      <c r="AI40" s="28">
        <v>0</v>
      </c>
      <c r="AJ40" s="30">
        <f>Tabela4[[#This Row],[Realizado
Jun]]-Tabela4[[#This Row],[Orçado
Jun]]</f>
        <v>-2700</v>
      </c>
      <c r="AK40" s="38">
        <f t="shared" si="21"/>
        <v>-1</v>
      </c>
      <c r="AL40" s="28">
        <v>2700</v>
      </c>
      <c r="AM40" s="28">
        <v>0</v>
      </c>
      <c r="AN40" s="30">
        <f>Tabela4[[#This Row],[Realizado
Jul]]-Tabela4[[#This Row],[Orçado
Jul]]</f>
        <v>-2700</v>
      </c>
      <c r="AO40" s="38">
        <f t="shared" si="22"/>
        <v>-1</v>
      </c>
      <c r="AP40" s="28">
        <v>2700</v>
      </c>
      <c r="AQ40" s="28"/>
      <c r="AR40" s="29">
        <f>Tabela4[[#This Row],[Realizado
Ago]]-Tabela4[[#This Row],[Orçado
Ago]]</f>
        <v>-2700</v>
      </c>
      <c r="AS40" s="38">
        <f t="shared" si="23"/>
        <v>-1</v>
      </c>
      <c r="AT40" s="28">
        <v>2700</v>
      </c>
      <c r="AU40" s="28">
        <v>0</v>
      </c>
      <c r="AV40" s="29">
        <f>Tabela4[[#This Row],[Realizado
Set]]-Tabela4[[#This Row],[Orçado
Set]]</f>
        <v>-2700</v>
      </c>
      <c r="AW40" s="38">
        <f t="shared" si="24"/>
        <v>-1</v>
      </c>
      <c r="AX40" s="28">
        <v>2700</v>
      </c>
      <c r="AY40" s="28">
        <v>0</v>
      </c>
      <c r="AZ40" s="29">
        <f>Tabela4[[#This Row],[Realizado
Out]]-Tabela4[[#This Row],[Orçado
Out]]</f>
        <v>-2700</v>
      </c>
      <c r="BA40" s="38">
        <f t="shared" si="25"/>
        <v>-1</v>
      </c>
      <c r="BB40" s="28">
        <v>2700</v>
      </c>
      <c r="BC40" s="28">
        <v>0</v>
      </c>
      <c r="BD40" s="29">
        <f>Tabela4[[#This Row],[Realizado
Nov]]-Tabela4[[#This Row],[Orçado
Nov]]</f>
        <v>-2700</v>
      </c>
      <c r="BE40" s="38">
        <f t="shared" si="26"/>
        <v>-1</v>
      </c>
      <c r="BF40" s="28">
        <v>2700</v>
      </c>
      <c r="BG40" s="57">
        <v>0</v>
      </c>
      <c r="BH40" s="29">
        <f>Tabela4[[#This Row],[Realizado
Dez]]-Tabela4[[#This Row],[Orçado
Dez]]</f>
        <v>-2700</v>
      </c>
      <c r="BI40" s="38">
        <f t="shared" si="27"/>
        <v>-1</v>
      </c>
      <c r="BJ40" s="29">
        <f t="shared" si="28"/>
        <v>32400</v>
      </c>
      <c r="BK40" s="29">
        <f t="shared" si="29"/>
        <v>16119.85</v>
      </c>
      <c r="BL40" s="34">
        <f t="shared" si="30"/>
        <v>-12210.300000000001</v>
      </c>
      <c r="BM40" s="42">
        <f t="shared" si="31"/>
        <v>-0.50247376543209876</v>
      </c>
      <c r="BN40" s="36">
        <f>Tabela4[[#This Row],[Total Orçado
Ano]]-Tabela4[[#This Row],[Total Realizado
Ano]]</f>
        <v>16280.15</v>
      </c>
      <c r="BO40" s="36">
        <f>Tabela4[[#This Row],[Total Orçado
Ano]]-Tabela4[[#This Row],[Total Realizado
Ano]]</f>
        <v>16280.15</v>
      </c>
    </row>
    <row r="41" spans="1:67" s="23" customFormat="1" ht="12" x14ac:dyDescent="0.2">
      <c r="A41" s="25">
        <v>2026</v>
      </c>
      <c r="B41" s="14" t="s">
        <v>92</v>
      </c>
      <c r="C41" s="14" t="s">
        <v>139</v>
      </c>
      <c r="D41" s="23" t="s">
        <v>93</v>
      </c>
      <c r="E41" s="23" t="s">
        <v>2</v>
      </c>
      <c r="F41" s="23" t="s">
        <v>217</v>
      </c>
      <c r="H41" s="23" t="s">
        <v>115</v>
      </c>
      <c r="J41" s="23" t="s">
        <v>86</v>
      </c>
      <c r="K41" s="23" t="s">
        <v>96</v>
      </c>
      <c r="L41" s="23" t="s">
        <v>87</v>
      </c>
      <c r="M41" s="23" t="s">
        <v>297</v>
      </c>
      <c r="N41" s="28">
        <v>0</v>
      </c>
      <c r="O41" s="28">
        <v>0</v>
      </c>
      <c r="P41" s="30">
        <f>Tabela4[[#This Row],[Realizado
Jan]]-Tabela4[[#This Row],[Orçado
Jan]]</f>
        <v>0</v>
      </c>
      <c r="Q41" s="39" t="str">
        <f t="shared" si="16"/>
        <v>-</v>
      </c>
      <c r="R41" s="28">
        <v>0</v>
      </c>
      <c r="S41" s="64">
        <v>0</v>
      </c>
      <c r="T41" s="30">
        <f>Tabela4[[#This Row],[Realizado
Fev]]-Tabela4[[#This Row],[Orçado
Fev]]</f>
        <v>0</v>
      </c>
      <c r="U41" s="39" t="str">
        <f t="shared" si="17"/>
        <v>-</v>
      </c>
      <c r="V41" s="28">
        <v>0</v>
      </c>
      <c r="W41" s="28">
        <v>0</v>
      </c>
      <c r="X41" s="30">
        <f>Tabela4[[#This Row],[Realizado
Mar]]-Tabela4[[#This Row],[Orçado
Mar]]</f>
        <v>0</v>
      </c>
      <c r="Y41" s="39" t="str">
        <f t="shared" si="18"/>
        <v>-</v>
      </c>
      <c r="Z41" s="28">
        <v>0</v>
      </c>
      <c r="AA41" s="28">
        <v>0</v>
      </c>
      <c r="AB41" s="30">
        <f>Tabela4[[#This Row],[Realizado
Abr]]-Tabela4[[#This Row],[Orçado
Abr]]</f>
        <v>0</v>
      </c>
      <c r="AC41" s="39" t="str">
        <f t="shared" si="19"/>
        <v>-</v>
      </c>
      <c r="AD41" s="28">
        <v>0</v>
      </c>
      <c r="AE41" s="28">
        <v>0</v>
      </c>
      <c r="AF41" s="30">
        <f>Tabela4[[#This Row],[Realizado
Mai]]-Tabela4[[#This Row],[Orçado
Mai]]</f>
        <v>0</v>
      </c>
      <c r="AG41" s="38" t="str">
        <f t="shared" si="20"/>
        <v>-</v>
      </c>
      <c r="AH41" s="28">
        <v>0</v>
      </c>
      <c r="AI41" s="28">
        <v>0</v>
      </c>
      <c r="AJ41" s="30">
        <f>Tabela4[[#This Row],[Realizado
Jun]]-Tabela4[[#This Row],[Orçado
Jun]]</f>
        <v>0</v>
      </c>
      <c r="AK41" s="38" t="str">
        <f t="shared" si="21"/>
        <v>-</v>
      </c>
      <c r="AL41" s="28">
        <v>0</v>
      </c>
      <c r="AM41" s="28">
        <v>0</v>
      </c>
      <c r="AN41" s="30">
        <f>Tabela4[[#This Row],[Realizado
Jul]]-Tabela4[[#This Row],[Orçado
Jul]]</f>
        <v>0</v>
      </c>
      <c r="AO41" s="38" t="str">
        <f t="shared" si="22"/>
        <v>-</v>
      </c>
      <c r="AP41" s="28">
        <v>0</v>
      </c>
      <c r="AQ41" s="28">
        <v>0</v>
      </c>
      <c r="AR41" s="29">
        <f>Tabela4[[#This Row],[Realizado
Ago]]-Tabela4[[#This Row],[Orçado
Ago]]</f>
        <v>0</v>
      </c>
      <c r="AS41" s="38" t="str">
        <f t="shared" si="23"/>
        <v>-</v>
      </c>
      <c r="AT41" s="28">
        <v>0</v>
      </c>
      <c r="AU41" s="28">
        <v>0</v>
      </c>
      <c r="AV41" s="29">
        <f>Tabela4[[#This Row],[Realizado
Set]]-Tabela4[[#This Row],[Orçado
Set]]</f>
        <v>0</v>
      </c>
      <c r="AW41" s="38" t="str">
        <f t="shared" si="24"/>
        <v>-</v>
      </c>
      <c r="AX41" s="28">
        <v>0</v>
      </c>
      <c r="AY41" s="28">
        <v>0</v>
      </c>
      <c r="AZ41" s="29">
        <f>Tabela4[[#This Row],[Realizado
Out]]-Tabela4[[#This Row],[Orçado
Out]]</f>
        <v>0</v>
      </c>
      <c r="BA41" s="38" t="str">
        <f t="shared" si="25"/>
        <v>-</v>
      </c>
      <c r="BB41" s="28">
        <v>0</v>
      </c>
      <c r="BC41" s="28">
        <v>0</v>
      </c>
      <c r="BD41" s="29">
        <f>Tabela4[[#This Row],[Realizado
Nov]]-Tabela4[[#This Row],[Orçado
Nov]]</f>
        <v>0</v>
      </c>
      <c r="BE41" s="38" t="str">
        <f t="shared" si="26"/>
        <v>-</v>
      </c>
      <c r="BF41" s="28">
        <v>0</v>
      </c>
      <c r="BG41" s="57">
        <v>0</v>
      </c>
      <c r="BH41" s="29">
        <f>Tabela4[[#This Row],[Realizado
Dez]]-Tabela4[[#This Row],[Orçado
Dez]]</f>
        <v>0</v>
      </c>
      <c r="BI41" s="38" t="str">
        <f t="shared" si="27"/>
        <v>-</v>
      </c>
      <c r="BJ41" s="29">
        <f t="shared" si="28"/>
        <v>0</v>
      </c>
      <c r="BK41" s="29">
        <f t="shared" si="29"/>
        <v>0</v>
      </c>
      <c r="BL41" s="34">
        <f t="shared" si="30"/>
        <v>0</v>
      </c>
      <c r="BM41" s="42" t="str">
        <f t="shared" si="31"/>
        <v>-</v>
      </c>
      <c r="BN41" s="36">
        <f>Tabela4[[#This Row],[Total Orçado
Ano]]-Tabela4[[#This Row],[Total Realizado
Ano]]</f>
        <v>0</v>
      </c>
      <c r="BO41" s="36">
        <f>Tabela4[[#This Row],[Total Orçado
Ano]]-Tabela4[[#This Row],[Total Realizado
Ano]]</f>
        <v>0</v>
      </c>
    </row>
    <row r="42" spans="1:67" s="23" customFormat="1" ht="12" x14ac:dyDescent="0.2">
      <c r="A42" s="25">
        <v>2026</v>
      </c>
      <c r="B42" s="14" t="s">
        <v>92</v>
      </c>
      <c r="C42" s="14" t="s">
        <v>139</v>
      </c>
      <c r="D42" s="23" t="s">
        <v>93</v>
      </c>
      <c r="E42" s="23" t="s">
        <v>2</v>
      </c>
      <c r="F42" s="23" t="s">
        <v>217</v>
      </c>
      <c r="H42" s="23" t="s">
        <v>115</v>
      </c>
      <c r="J42" s="23" t="s">
        <v>86</v>
      </c>
      <c r="K42" s="23" t="s">
        <v>96</v>
      </c>
      <c r="L42" s="23" t="s">
        <v>87</v>
      </c>
      <c r="M42" s="23" t="s">
        <v>303</v>
      </c>
      <c r="N42" s="28">
        <v>0</v>
      </c>
      <c r="O42" s="28">
        <v>0</v>
      </c>
      <c r="P42" s="30">
        <f>Tabela4[[#This Row],[Realizado
Jan]]-Tabela4[[#This Row],[Orçado
Jan]]</f>
        <v>0</v>
      </c>
      <c r="Q42" s="39" t="str">
        <f t="shared" si="16"/>
        <v>-</v>
      </c>
      <c r="R42" s="28">
        <v>0</v>
      </c>
      <c r="S42" s="28">
        <v>0</v>
      </c>
      <c r="T42" s="30">
        <f>Tabela4[[#This Row],[Realizado
Fev]]-Tabela4[[#This Row],[Orçado
Fev]]</f>
        <v>0</v>
      </c>
      <c r="U42" s="39" t="str">
        <f t="shared" si="17"/>
        <v>-</v>
      </c>
      <c r="V42" s="28">
        <v>0</v>
      </c>
      <c r="W42" s="28">
        <v>0</v>
      </c>
      <c r="X42" s="30">
        <f>Tabela4[[#This Row],[Realizado
Mar]]-Tabela4[[#This Row],[Orçado
Mar]]</f>
        <v>0</v>
      </c>
      <c r="Y42" s="39" t="str">
        <f t="shared" si="18"/>
        <v>-</v>
      </c>
      <c r="Z42" s="28">
        <v>0</v>
      </c>
      <c r="AA42" s="28">
        <v>0</v>
      </c>
      <c r="AB42" s="30">
        <f>Tabela4[[#This Row],[Realizado
Abr]]-Tabela4[[#This Row],[Orçado
Abr]]</f>
        <v>0</v>
      </c>
      <c r="AC42" s="39" t="str">
        <f t="shared" si="19"/>
        <v>-</v>
      </c>
      <c r="AD42" s="28">
        <v>0</v>
      </c>
      <c r="AE42" s="28">
        <v>0</v>
      </c>
      <c r="AF42" s="30">
        <f>Tabela4[[#This Row],[Realizado
Mai]]-Tabela4[[#This Row],[Orçado
Mai]]</f>
        <v>0</v>
      </c>
      <c r="AG42" s="38" t="str">
        <f t="shared" si="20"/>
        <v>-</v>
      </c>
      <c r="AH42" s="28">
        <v>0</v>
      </c>
      <c r="AI42" s="28">
        <v>0</v>
      </c>
      <c r="AJ42" s="30">
        <f>Tabela4[[#This Row],[Realizado
Jun]]-Tabela4[[#This Row],[Orçado
Jun]]</f>
        <v>0</v>
      </c>
      <c r="AK42" s="38" t="str">
        <f t="shared" si="21"/>
        <v>-</v>
      </c>
      <c r="AL42" s="28">
        <v>0</v>
      </c>
      <c r="AM42" s="28">
        <v>0</v>
      </c>
      <c r="AN42" s="30">
        <f>Tabela4[[#This Row],[Realizado
Jul]]-Tabela4[[#This Row],[Orçado
Jul]]</f>
        <v>0</v>
      </c>
      <c r="AO42" s="38" t="str">
        <f t="shared" si="22"/>
        <v>-</v>
      </c>
      <c r="AP42" s="28">
        <v>0</v>
      </c>
      <c r="AQ42" s="28">
        <v>0</v>
      </c>
      <c r="AR42" s="29">
        <f>Tabela4[[#This Row],[Realizado
Ago]]-Tabela4[[#This Row],[Orçado
Ago]]</f>
        <v>0</v>
      </c>
      <c r="AS42" s="38" t="str">
        <f t="shared" si="23"/>
        <v>-</v>
      </c>
      <c r="AT42" s="28">
        <v>0</v>
      </c>
      <c r="AU42" s="28">
        <v>0</v>
      </c>
      <c r="AV42" s="29">
        <f>Tabela4[[#This Row],[Realizado
Set]]-Tabela4[[#This Row],[Orçado
Set]]</f>
        <v>0</v>
      </c>
      <c r="AW42" s="38" t="str">
        <f t="shared" si="24"/>
        <v>-</v>
      </c>
      <c r="AX42" s="28">
        <v>0</v>
      </c>
      <c r="AY42" s="28">
        <v>0</v>
      </c>
      <c r="AZ42" s="29">
        <f>Tabela4[[#This Row],[Realizado
Out]]-Tabela4[[#This Row],[Orçado
Out]]</f>
        <v>0</v>
      </c>
      <c r="BA42" s="38" t="str">
        <f t="shared" si="25"/>
        <v>-</v>
      </c>
      <c r="BB42" s="28">
        <v>0</v>
      </c>
      <c r="BC42" s="28">
        <v>0</v>
      </c>
      <c r="BD42" s="29">
        <f>Tabela4[[#This Row],[Realizado
Nov]]-Tabela4[[#This Row],[Orçado
Nov]]</f>
        <v>0</v>
      </c>
      <c r="BE42" s="38" t="str">
        <f t="shared" si="26"/>
        <v>-</v>
      </c>
      <c r="BF42" s="28">
        <v>0</v>
      </c>
      <c r="BG42" s="57">
        <v>0</v>
      </c>
      <c r="BH42" s="29">
        <f>Tabela4[[#This Row],[Realizado
Dez]]-Tabela4[[#This Row],[Orçado
Dez]]</f>
        <v>0</v>
      </c>
      <c r="BI42" s="38" t="str">
        <f t="shared" si="27"/>
        <v>-</v>
      </c>
      <c r="BJ42" s="29">
        <f t="shared" si="28"/>
        <v>0</v>
      </c>
      <c r="BK42" s="29">
        <f t="shared" si="29"/>
        <v>0</v>
      </c>
      <c r="BL42" s="34">
        <f t="shared" si="30"/>
        <v>0</v>
      </c>
      <c r="BM42" s="42" t="str">
        <f t="shared" si="31"/>
        <v>-</v>
      </c>
      <c r="BN42" s="36">
        <f>Tabela4[[#This Row],[Total Orçado
Ano]]-Tabela4[[#This Row],[Total Realizado
Ano]]</f>
        <v>0</v>
      </c>
      <c r="BO42" s="36">
        <f>Tabela4[[#This Row],[Total Orçado
Ano]]-Tabela4[[#This Row],[Total Realizado
Ano]]</f>
        <v>0</v>
      </c>
    </row>
    <row r="43" spans="1:67" s="23" customFormat="1" ht="12" x14ac:dyDescent="0.2">
      <c r="A43" s="25">
        <v>2026</v>
      </c>
      <c r="B43" s="14" t="s">
        <v>92</v>
      </c>
      <c r="C43" s="14" t="s">
        <v>139</v>
      </c>
      <c r="D43" s="23" t="s">
        <v>93</v>
      </c>
      <c r="E43" s="23" t="s">
        <v>2</v>
      </c>
      <c r="F43" s="23" t="s">
        <v>217</v>
      </c>
      <c r="H43" s="23" t="s">
        <v>115</v>
      </c>
      <c r="J43" s="23" t="s">
        <v>86</v>
      </c>
      <c r="K43" s="23" t="s">
        <v>96</v>
      </c>
      <c r="L43" s="23" t="s">
        <v>87</v>
      </c>
      <c r="M43" s="23" t="s">
        <v>298</v>
      </c>
      <c r="N43" s="28">
        <v>0</v>
      </c>
      <c r="O43" s="28">
        <v>0</v>
      </c>
      <c r="P43" s="30">
        <f>Tabela4[[#This Row],[Realizado
Jan]]-Tabela4[[#This Row],[Orçado
Jan]]</f>
        <v>0</v>
      </c>
      <c r="Q43" s="39" t="str">
        <f t="shared" si="16"/>
        <v>-</v>
      </c>
      <c r="R43" s="28">
        <v>0</v>
      </c>
      <c r="S43" s="28">
        <v>0</v>
      </c>
      <c r="T43" s="30">
        <f>Tabela4[[#This Row],[Realizado
Fev]]-Tabela4[[#This Row],[Orçado
Fev]]</f>
        <v>0</v>
      </c>
      <c r="U43" s="39" t="str">
        <f t="shared" si="17"/>
        <v>-</v>
      </c>
      <c r="V43" s="28">
        <v>0</v>
      </c>
      <c r="W43" s="28">
        <v>0</v>
      </c>
      <c r="X43" s="30">
        <f>Tabela4[[#This Row],[Realizado
Mar]]-Tabela4[[#This Row],[Orçado
Mar]]</f>
        <v>0</v>
      </c>
      <c r="Y43" s="39" t="str">
        <f t="shared" si="18"/>
        <v>-</v>
      </c>
      <c r="Z43" s="28">
        <v>0</v>
      </c>
      <c r="AA43" s="28">
        <v>0</v>
      </c>
      <c r="AB43" s="30">
        <f>Tabela4[[#This Row],[Realizado
Abr]]-Tabela4[[#This Row],[Orçado
Abr]]</f>
        <v>0</v>
      </c>
      <c r="AC43" s="39" t="str">
        <f t="shared" si="19"/>
        <v>-</v>
      </c>
      <c r="AD43" s="28">
        <v>0</v>
      </c>
      <c r="AE43" s="28">
        <v>0</v>
      </c>
      <c r="AF43" s="30">
        <f>Tabela4[[#This Row],[Realizado
Mai]]-Tabela4[[#This Row],[Orçado
Mai]]</f>
        <v>0</v>
      </c>
      <c r="AG43" s="38" t="str">
        <f t="shared" si="20"/>
        <v>-</v>
      </c>
      <c r="AH43" s="28">
        <v>0</v>
      </c>
      <c r="AI43" s="28">
        <v>0</v>
      </c>
      <c r="AJ43" s="30">
        <f>Tabela4[[#This Row],[Realizado
Jun]]-Tabela4[[#This Row],[Orçado
Jun]]</f>
        <v>0</v>
      </c>
      <c r="AK43" s="38" t="str">
        <f t="shared" si="21"/>
        <v>-</v>
      </c>
      <c r="AL43" s="28">
        <v>0</v>
      </c>
      <c r="AM43" s="28">
        <v>0</v>
      </c>
      <c r="AN43" s="30">
        <f>Tabela4[[#This Row],[Realizado
Jul]]-Tabela4[[#This Row],[Orçado
Jul]]</f>
        <v>0</v>
      </c>
      <c r="AO43" s="38" t="str">
        <f t="shared" si="22"/>
        <v>-</v>
      </c>
      <c r="AP43" s="28">
        <v>0</v>
      </c>
      <c r="AQ43" s="28">
        <v>0</v>
      </c>
      <c r="AR43" s="29">
        <f>Tabela4[[#This Row],[Realizado
Ago]]-Tabela4[[#This Row],[Orçado
Ago]]</f>
        <v>0</v>
      </c>
      <c r="AS43" s="38" t="str">
        <f t="shared" si="23"/>
        <v>-</v>
      </c>
      <c r="AT43" s="28">
        <v>0</v>
      </c>
      <c r="AU43" s="28">
        <v>0</v>
      </c>
      <c r="AV43" s="29">
        <f>Tabela4[[#This Row],[Realizado
Set]]-Tabela4[[#This Row],[Orçado
Set]]</f>
        <v>0</v>
      </c>
      <c r="AW43" s="38" t="str">
        <f t="shared" si="24"/>
        <v>-</v>
      </c>
      <c r="AX43" s="28">
        <v>0</v>
      </c>
      <c r="AY43" s="28">
        <v>0</v>
      </c>
      <c r="AZ43" s="29">
        <f>Tabela4[[#This Row],[Realizado
Out]]-Tabela4[[#This Row],[Orçado
Out]]</f>
        <v>0</v>
      </c>
      <c r="BA43" s="38" t="str">
        <f t="shared" si="25"/>
        <v>-</v>
      </c>
      <c r="BB43" s="28">
        <v>0</v>
      </c>
      <c r="BC43" s="28">
        <v>0</v>
      </c>
      <c r="BD43" s="29">
        <f>Tabela4[[#This Row],[Realizado
Nov]]-Tabela4[[#This Row],[Orçado
Nov]]</f>
        <v>0</v>
      </c>
      <c r="BE43" s="38" t="str">
        <f t="shared" si="26"/>
        <v>-</v>
      </c>
      <c r="BF43" s="28">
        <v>0</v>
      </c>
      <c r="BG43" s="57">
        <v>0</v>
      </c>
      <c r="BH43" s="29">
        <f>Tabela4[[#This Row],[Realizado
Dez]]-Tabela4[[#This Row],[Orçado
Dez]]</f>
        <v>0</v>
      </c>
      <c r="BI43" s="38" t="str">
        <f t="shared" si="27"/>
        <v>-</v>
      </c>
      <c r="BJ43" s="29">
        <f t="shared" si="28"/>
        <v>0</v>
      </c>
      <c r="BK43" s="29">
        <f t="shared" si="29"/>
        <v>0</v>
      </c>
      <c r="BL43" s="34">
        <f t="shared" si="30"/>
        <v>0</v>
      </c>
      <c r="BM43" s="42" t="str">
        <f t="shared" si="31"/>
        <v>-</v>
      </c>
      <c r="BN43" s="36">
        <f>Tabela4[[#This Row],[Total Orçado
Ano]]-Tabela4[[#This Row],[Total Realizado
Ano]]</f>
        <v>0</v>
      </c>
      <c r="BO43" s="36">
        <f>Tabela4[[#This Row],[Total Orçado
Ano]]-Tabela4[[#This Row],[Total Realizado
Ano]]</f>
        <v>0</v>
      </c>
    </row>
    <row r="44" spans="1:67" s="23" customFormat="1" ht="12" x14ac:dyDescent="0.2">
      <c r="A44" s="25">
        <v>2026</v>
      </c>
      <c r="B44" s="14" t="s">
        <v>92</v>
      </c>
      <c r="C44" s="14" t="s">
        <v>139</v>
      </c>
      <c r="D44" s="23" t="s">
        <v>93</v>
      </c>
      <c r="E44" s="23" t="s">
        <v>2</v>
      </c>
      <c r="F44" s="23" t="s">
        <v>217</v>
      </c>
      <c r="H44" s="23" t="s">
        <v>115</v>
      </c>
      <c r="J44" s="23" t="s">
        <v>86</v>
      </c>
      <c r="K44" s="23" t="s">
        <v>96</v>
      </c>
      <c r="L44" s="23" t="s">
        <v>87</v>
      </c>
      <c r="M44" s="23" t="s">
        <v>299</v>
      </c>
      <c r="N44" s="28">
        <v>0</v>
      </c>
      <c r="O44" s="28">
        <v>0</v>
      </c>
      <c r="P44" s="30">
        <f>Tabela4[[#This Row],[Realizado
Jan]]-Tabela4[[#This Row],[Orçado
Jan]]</f>
        <v>0</v>
      </c>
      <c r="Q44" s="39" t="str">
        <f t="shared" si="16"/>
        <v>-</v>
      </c>
      <c r="R44" s="28">
        <v>0</v>
      </c>
      <c r="S44" s="28">
        <v>0</v>
      </c>
      <c r="T44" s="30">
        <f>Tabela4[[#This Row],[Realizado
Fev]]-Tabela4[[#This Row],[Orçado
Fev]]</f>
        <v>0</v>
      </c>
      <c r="U44" s="39" t="str">
        <f t="shared" si="17"/>
        <v>-</v>
      </c>
      <c r="V44" s="28">
        <v>0</v>
      </c>
      <c r="W44" s="28">
        <v>0</v>
      </c>
      <c r="X44" s="30">
        <f>Tabela4[[#This Row],[Realizado
Mar]]-Tabela4[[#This Row],[Orçado
Mar]]</f>
        <v>0</v>
      </c>
      <c r="Y44" s="39" t="str">
        <f t="shared" si="18"/>
        <v>-</v>
      </c>
      <c r="Z44" s="28">
        <v>0</v>
      </c>
      <c r="AA44" s="28">
        <v>0</v>
      </c>
      <c r="AB44" s="30">
        <f>Tabela4[[#This Row],[Realizado
Abr]]-Tabela4[[#This Row],[Orçado
Abr]]</f>
        <v>0</v>
      </c>
      <c r="AC44" s="39" t="str">
        <f t="shared" si="19"/>
        <v>-</v>
      </c>
      <c r="AD44" s="28">
        <v>0</v>
      </c>
      <c r="AE44" s="28">
        <v>0</v>
      </c>
      <c r="AF44" s="30">
        <f>Tabela4[[#This Row],[Realizado
Mai]]-Tabela4[[#This Row],[Orçado
Mai]]</f>
        <v>0</v>
      </c>
      <c r="AG44" s="38" t="str">
        <f t="shared" si="20"/>
        <v>-</v>
      </c>
      <c r="AH44" s="28">
        <v>0</v>
      </c>
      <c r="AI44" s="28">
        <v>0</v>
      </c>
      <c r="AJ44" s="30">
        <f>Tabela4[[#This Row],[Realizado
Jun]]-Tabela4[[#This Row],[Orçado
Jun]]</f>
        <v>0</v>
      </c>
      <c r="AK44" s="38" t="str">
        <f t="shared" si="21"/>
        <v>-</v>
      </c>
      <c r="AL44" s="28">
        <v>0</v>
      </c>
      <c r="AM44" s="28">
        <v>0</v>
      </c>
      <c r="AN44" s="30">
        <f>Tabela4[[#This Row],[Realizado
Jul]]-Tabela4[[#This Row],[Orçado
Jul]]</f>
        <v>0</v>
      </c>
      <c r="AO44" s="38" t="str">
        <f t="shared" si="22"/>
        <v>-</v>
      </c>
      <c r="AP44" s="28">
        <v>0</v>
      </c>
      <c r="AQ44" s="28">
        <v>0</v>
      </c>
      <c r="AR44" s="29">
        <f>Tabela4[[#This Row],[Realizado
Ago]]-Tabela4[[#This Row],[Orçado
Ago]]</f>
        <v>0</v>
      </c>
      <c r="AS44" s="38" t="str">
        <f t="shared" si="23"/>
        <v>-</v>
      </c>
      <c r="AT44" s="28">
        <v>0</v>
      </c>
      <c r="AU44" s="28">
        <v>0</v>
      </c>
      <c r="AV44" s="29">
        <f>Tabela4[[#This Row],[Realizado
Set]]-Tabela4[[#This Row],[Orçado
Set]]</f>
        <v>0</v>
      </c>
      <c r="AW44" s="38" t="str">
        <f t="shared" si="24"/>
        <v>-</v>
      </c>
      <c r="AX44" s="28">
        <v>0</v>
      </c>
      <c r="AY44" s="28">
        <v>0</v>
      </c>
      <c r="AZ44" s="29">
        <f>Tabela4[[#This Row],[Realizado
Out]]-Tabela4[[#This Row],[Orçado
Out]]</f>
        <v>0</v>
      </c>
      <c r="BA44" s="38" t="str">
        <f t="shared" si="25"/>
        <v>-</v>
      </c>
      <c r="BB44" s="28">
        <v>0</v>
      </c>
      <c r="BC44" s="28">
        <v>0</v>
      </c>
      <c r="BD44" s="29">
        <f>Tabela4[[#This Row],[Realizado
Nov]]-Tabela4[[#This Row],[Orçado
Nov]]</f>
        <v>0</v>
      </c>
      <c r="BE44" s="38" t="str">
        <f t="shared" si="26"/>
        <v>-</v>
      </c>
      <c r="BF44" s="28">
        <v>0</v>
      </c>
      <c r="BG44" s="57">
        <v>0</v>
      </c>
      <c r="BH44" s="29">
        <f>Tabela4[[#This Row],[Realizado
Dez]]-Tabela4[[#This Row],[Orçado
Dez]]</f>
        <v>0</v>
      </c>
      <c r="BI44" s="38" t="str">
        <f t="shared" si="27"/>
        <v>-</v>
      </c>
      <c r="BJ44" s="29">
        <f t="shared" si="28"/>
        <v>0</v>
      </c>
      <c r="BK44" s="29">
        <f t="shared" si="29"/>
        <v>0</v>
      </c>
      <c r="BL44" s="34">
        <f t="shared" si="30"/>
        <v>0</v>
      </c>
      <c r="BM44" s="42" t="str">
        <f t="shared" si="31"/>
        <v>-</v>
      </c>
      <c r="BN44" s="36">
        <f>Tabela4[[#This Row],[Total Orçado
Ano]]-Tabela4[[#This Row],[Total Realizado
Ano]]</f>
        <v>0</v>
      </c>
      <c r="BO44" s="36">
        <f>Tabela4[[#This Row],[Total Orçado
Ano]]-Tabela4[[#This Row],[Total Realizado
Ano]]</f>
        <v>0</v>
      </c>
    </row>
    <row r="45" spans="1:67" s="23" customFormat="1" ht="12" x14ac:dyDescent="0.2">
      <c r="A45" s="25">
        <v>2026</v>
      </c>
      <c r="B45" s="14" t="s">
        <v>92</v>
      </c>
      <c r="C45" s="14" t="s">
        <v>139</v>
      </c>
      <c r="D45" s="23" t="s">
        <v>93</v>
      </c>
      <c r="E45" s="23" t="s">
        <v>2</v>
      </c>
      <c r="F45" s="23" t="s">
        <v>217</v>
      </c>
      <c r="H45" s="23" t="s">
        <v>115</v>
      </c>
      <c r="J45" s="23" t="s">
        <v>86</v>
      </c>
      <c r="K45" s="23" t="s">
        <v>96</v>
      </c>
      <c r="L45" s="23" t="s">
        <v>87</v>
      </c>
      <c r="M45" s="23" t="s">
        <v>300</v>
      </c>
      <c r="N45" s="28">
        <v>0</v>
      </c>
      <c r="O45" s="28">
        <v>0</v>
      </c>
      <c r="P45" s="30">
        <f>Tabela4[[#This Row],[Realizado
Jan]]-Tabela4[[#This Row],[Orçado
Jan]]</f>
        <v>0</v>
      </c>
      <c r="Q45" s="39" t="str">
        <f t="shared" si="16"/>
        <v>-</v>
      </c>
      <c r="R45" s="28">
        <v>0</v>
      </c>
      <c r="S45" s="28">
        <v>0</v>
      </c>
      <c r="T45" s="30">
        <f>Tabela4[[#This Row],[Realizado
Fev]]-Tabela4[[#This Row],[Orçado
Fev]]</f>
        <v>0</v>
      </c>
      <c r="U45" s="39" t="str">
        <f t="shared" si="17"/>
        <v>-</v>
      </c>
      <c r="V45" s="28">
        <v>0</v>
      </c>
      <c r="W45" s="28">
        <v>0</v>
      </c>
      <c r="X45" s="30">
        <f>Tabela4[[#This Row],[Realizado
Mar]]-Tabela4[[#This Row],[Orçado
Mar]]</f>
        <v>0</v>
      </c>
      <c r="Y45" s="39" t="str">
        <f t="shared" si="18"/>
        <v>-</v>
      </c>
      <c r="Z45" s="28">
        <v>0</v>
      </c>
      <c r="AA45" s="28">
        <v>0</v>
      </c>
      <c r="AB45" s="30">
        <f>Tabela4[[#This Row],[Realizado
Abr]]-Tabela4[[#This Row],[Orçado
Abr]]</f>
        <v>0</v>
      </c>
      <c r="AC45" s="39" t="str">
        <f t="shared" si="19"/>
        <v>-</v>
      </c>
      <c r="AD45" s="28">
        <v>0</v>
      </c>
      <c r="AE45" s="28">
        <v>0</v>
      </c>
      <c r="AF45" s="30">
        <f>Tabela4[[#This Row],[Realizado
Mai]]-Tabela4[[#This Row],[Orçado
Mai]]</f>
        <v>0</v>
      </c>
      <c r="AG45" s="38" t="str">
        <f t="shared" si="20"/>
        <v>-</v>
      </c>
      <c r="AH45" s="28">
        <v>0</v>
      </c>
      <c r="AI45" s="28">
        <v>0</v>
      </c>
      <c r="AJ45" s="30">
        <f>Tabela4[[#This Row],[Realizado
Jun]]-Tabela4[[#This Row],[Orçado
Jun]]</f>
        <v>0</v>
      </c>
      <c r="AK45" s="38" t="str">
        <f t="shared" si="21"/>
        <v>-</v>
      </c>
      <c r="AL45" s="28">
        <v>0</v>
      </c>
      <c r="AM45" s="28">
        <v>0</v>
      </c>
      <c r="AN45" s="30">
        <f>Tabela4[[#This Row],[Realizado
Jul]]-Tabela4[[#This Row],[Orçado
Jul]]</f>
        <v>0</v>
      </c>
      <c r="AO45" s="38" t="str">
        <f t="shared" si="22"/>
        <v>-</v>
      </c>
      <c r="AP45" s="28">
        <v>0</v>
      </c>
      <c r="AQ45" s="28"/>
      <c r="AR45" s="29">
        <f>Tabela4[[#This Row],[Realizado
Ago]]-Tabela4[[#This Row],[Orçado
Ago]]</f>
        <v>0</v>
      </c>
      <c r="AS45" s="38" t="str">
        <f t="shared" si="23"/>
        <v>-</v>
      </c>
      <c r="AT45" s="28">
        <v>0</v>
      </c>
      <c r="AU45" s="28">
        <v>0</v>
      </c>
      <c r="AV45" s="29">
        <f>Tabela4[[#This Row],[Realizado
Set]]-Tabela4[[#This Row],[Orçado
Set]]</f>
        <v>0</v>
      </c>
      <c r="AW45" s="38" t="str">
        <f t="shared" si="24"/>
        <v>-</v>
      </c>
      <c r="AX45" s="28">
        <v>0</v>
      </c>
      <c r="AY45" s="28">
        <v>0</v>
      </c>
      <c r="AZ45" s="29">
        <f>Tabela4[[#This Row],[Realizado
Out]]-Tabela4[[#This Row],[Orçado
Out]]</f>
        <v>0</v>
      </c>
      <c r="BA45" s="38" t="str">
        <f t="shared" si="25"/>
        <v>-</v>
      </c>
      <c r="BB45" s="28">
        <v>0</v>
      </c>
      <c r="BC45" s="28">
        <v>0</v>
      </c>
      <c r="BD45" s="29">
        <f>Tabela4[[#This Row],[Realizado
Nov]]-Tabela4[[#This Row],[Orçado
Nov]]</f>
        <v>0</v>
      </c>
      <c r="BE45" s="38" t="str">
        <f t="shared" si="26"/>
        <v>-</v>
      </c>
      <c r="BF45" s="28">
        <v>0</v>
      </c>
      <c r="BG45" s="57">
        <v>0</v>
      </c>
      <c r="BH45" s="29">
        <f>Tabela4[[#This Row],[Realizado
Dez]]-Tabela4[[#This Row],[Orçado
Dez]]</f>
        <v>0</v>
      </c>
      <c r="BI45" s="38" t="str">
        <f t="shared" si="27"/>
        <v>-</v>
      </c>
      <c r="BJ45" s="29">
        <f t="shared" si="28"/>
        <v>0</v>
      </c>
      <c r="BK45" s="29">
        <f t="shared" si="29"/>
        <v>0</v>
      </c>
      <c r="BL45" s="34">
        <f t="shared" si="30"/>
        <v>0</v>
      </c>
      <c r="BM45" s="42" t="str">
        <f t="shared" si="31"/>
        <v>-</v>
      </c>
      <c r="BN45" s="36">
        <f>Tabela4[[#This Row],[Total Orçado
Ano]]-Tabela4[[#This Row],[Total Realizado
Ano]]</f>
        <v>0</v>
      </c>
      <c r="BO45" s="36">
        <f>Tabela4[[#This Row],[Total Orçado
Ano]]-Tabela4[[#This Row],[Total Realizado
Ano]]</f>
        <v>0</v>
      </c>
    </row>
    <row r="46" spans="1:67" s="23" customFormat="1" ht="12" x14ac:dyDescent="0.2">
      <c r="A46" s="25">
        <v>2026</v>
      </c>
      <c r="B46" s="14" t="s">
        <v>92</v>
      </c>
      <c r="C46" s="14" t="s">
        <v>139</v>
      </c>
      <c r="D46" s="23" t="s">
        <v>93</v>
      </c>
      <c r="E46" s="23" t="s">
        <v>2</v>
      </c>
      <c r="F46" s="23" t="s">
        <v>217</v>
      </c>
      <c r="H46" s="23" t="s">
        <v>115</v>
      </c>
      <c r="J46" s="23" t="s">
        <v>86</v>
      </c>
      <c r="K46" s="23" t="s">
        <v>96</v>
      </c>
      <c r="L46" s="23" t="s">
        <v>87</v>
      </c>
      <c r="M46" s="23" t="s">
        <v>301</v>
      </c>
      <c r="N46" s="28">
        <v>0</v>
      </c>
      <c r="O46" s="28">
        <v>0</v>
      </c>
      <c r="P46" s="30">
        <f>Tabela4[[#This Row],[Realizado
Jan]]-Tabela4[[#This Row],[Orçado
Jan]]</f>
        <v>0</v>
      </c>
      <c r="Q46" s="39" t="str">
        <f t="shared" si="16"/>
        <v>-</v>
      </c>
      <c r="R46" s="28">
        <v>0</v>
      </c>
      <c r="S46" s="28">
        <v>0</v>
      </c>
      <c r="T46" s="30">
        <f>Tabela4[[#This Row],[Realizado
Fev]]-Tabela4[[#This Row],[Orçado
Fev]]</f>
        <v>0</v>
      </c>
      <c r="U46" s="39" t="str">
        <f t="shared" si="17"/>
        <v>-</v>
      </c>
      <c r="V46" s="28">
        <v>0</v>
      </c>
      <c r="W46" s="28">
        <v>0</v>
      </c>
      <c r="X46" s="30">
        <f>Tabela4[[#This Row],[Realizado
Mar]]-Tabela4[[#This Row],[Orçado
Mar]]</f>
        <v>0</v>
      </c>
      <c r="Y46" s="39" t="str">
        <f t="shared" si="18"/>
        <v>-</v>
      </c>
      <c r="Z46" s="28">
        <v>0</v>
      </c>
      <c r="AA46" s="28">
        <v>0</v>
      </c>
      <c r="AB46" s="30">
        <f>Tabela4[[#This Row],[Realizado
Abr]]-Tabela4[[#This Row],[Orçado
Abr]]</f>
        <v>0</v>
      </c>
      <c r="AC46" s="39" t="str">
        <f t="shared" si="19"/>
        <v>-</v>
      </c>
      <c r="AD46" s="28">
        <v>0</v>
      </c>
      <c r="AE46" s="28">
        <v>0</v>
      </c>
      <c r="AF46" s="30">
        <f>Tabela4[[#This Row],[Realizado
Mai]]-Tabela4[[#This Row],[Orçado
Mai]]</f>
        <v>0</v>
      </c>
      <c r="AG46" s="38" t="str">
        <f t="shared" si="20"/>
        <v>-</v>
      </c>
      <c r="AH46" s="28">
        <v>0</v>
      </c>
      <c r="AI46" s="28">
        <v>0</v>
      </c>
      <c r="AJ46" s="30">
        <f>Tabela4[[#This Row],[Realizado
Jun]]-Tabela4[[#This Row],[Orçado
Jun]]</f>
        <v>0</v>
      </c>
      <c r="AK46" s="38" t="str">
        <f t="shared" si="21"/>
        <v>-</v>
      </c>
      <c r="AL46" s="28">
        <v>0</v>
      </c>
      <c r="AM46" s="28">
        <v>0</v>
      </c>
      <c r="AN46" s="30">
        <f>Tabela4[[#This Row],[Realizado
Jul]]-Tabela4[[#This Row],[Orçado
Jul]]</f>
        <v>0</v>
      </c>
      <c r="AO46" s="38" t="str">
        <f t="shared" si="22"/>
        <v>-</v>
      </c>
      <c r="AP46" s="28">
        <v>0</v>
      </c>
      <c r="AQ46" s="28">
        <v>0</v>
      </c>
      <c r="AR46" s="29">
        <f>Tabela4[[#This Row],[Realizado
Ago]]-Tabela4[[#This Row],[Orçado
Ago]]</f>
        <v>0</v>
      </c>
      <c r="AS46" s="38" t="str">
        <f t="shared" si="23"/>
        <v>-</v>
      </c>
      <c r="AT46" s="28">
        <v>0</v>
      </c>
      <c r="AU46" s="28">
        <v>0</v>
      </c>
      <c r="AV46" s="29">
        <f>Tabela4[[#This Row],[Realizado
Set]]-Tabela4[[#This Row],[Orçado
Set]]</f>
        <v>0</v>
      </c>
      <c r="AW46" s="38" t="str">
        <f t="shared" si="24"/>
        <v>-</v>
      </c>
      <c r="AX46" s="28">
        <v>0</v>
      </c>
      <c r="AY46" s="28">
        <v>0</v>
      </c>
      <c r="AZ46" s="29">
        <f>Tabela4[[#This Row],[Realizado
Out]]-Tabela4[[#This Row],[Orçado
Out]]</f>
        <v>0</v>
      </c>
      <c r="BA46" s="38" t="str">
        <f t="shared" si="25"/>
        <v>-</v>
      </c>
      <c r="BB46" s="28">
        <v>0</v>
      </c>
      <c r="BC46" s="28">
        <v>0</v>
      </c>
      <c r="BD46" s="29">
        <f>Tabela4[[#This Row],[Realizado
Nov]]-Tabela4[[#This Row],[Orçado
Nov]]</f>
        <v>0</v>
      </c>
      <c r="BE46" s="38" t="str">
        <f t="shared" si="26"/>
        <v>-</v>
      </c>
      <c r="BF46" s="28">
        <v>0</v>
      </c>
      <c r="BG46" s="57">
        <v>0</v>
      </c>
      <c r="BH46" s="29">
        <f>Tabela4[[#This Row],[Realizado
Dez]]-Tabela4[[#This Row],[Orçado
Dez]]</f>
        <v>0</v>
      </c>
      <c r="BI46" s="38" t="str">
        <f t="shared" si="27"/>
        <v>-</v>
      </c>
      <c r="BJ46" s="29">
        <f t="shared" si="28"/>
        <v>0</v>
      </c>
      <c r="BK46" s="29">
        <f t="shared" si="29"/>
        <v>0</v>
      </c>
      <c r="BL46" s="34">
        <f t="shared" si="30"/>
        <v>0</v>
      </c>
      <c r="BM46" s="42" t="str">
        <f t="shared" si="31"/>
        <v>-</v>
      </c>
      <c r="BN46" s="36">
        <f>Tabela4[[#This Row],[Total Orçado
Ano]]-Tabela4[[#This Row],[Total Realizado
Ano]]</f>
        <v>0</v>
      </c>
      <c r="BO46" s="36">
        <f>Tabela4[[#This Row],[Total Orçado
Ano]]-Tabela4[[#This Row],[Total Realizado
Ano]]</f>
        <v>0</v>
      </c>
    </row>
    <row r="47" spans="1:67" s="23" customFormat="1" ht="12" x14ac:dyDescent="0.2">
      <c r="A47" s="25">
        <v>2026</v>
      </c>
      <c r="B47" s="14" t="s">
        <v>92</v>
      </c>
      <c r="C47" s="14" t="s">
        <v>139</v>
      </c>
      <c r="D47" s="23" t="s">
        <v>93</v>
      </c>
      <c r="E47" s="23" t="s">
        <v>2</v>
      </c>
      <c r="F47" s="23" t="s">
        <v>217</v>
      </c>
      <c r="H47" s="23" t="s">
        <v>115</v>
      </c>
      <c r="J47" s="23" t="s">
        <v>86</v>
      </c>
      <c r="K47" s="23" t="s">
        <v>96</v>
      </c>
      <c r="L47" s="23" t="s">
        <v>87</v>
      </c>
      <c r="M47" s="23" t="s">
        <v>302</v>
      </c>
      <c r="N47" s="28">
        <v>0</v>
      </c>
      <c r="O47" s="28">
        <v>0</v>
      </c>
      <c r="P47" s="30">
        <f>Tabela4[[#This Row],[Realizado
Jan]]-Tabela4[[#This Row],[Orçado
Jan]]</f>
        <v>0</v>
      </c>
      <c r="Q47" s="39" t="str">
        <f t="shared" si="16"/>
        <v>-</v>
      </c>
      <c r="R47" s="28">
        <v>0</v>
      </c>
      <c r="S47" s="28">
        <v>0</v>
      </c>
      <c r="T47" s="30">
        <f>Tabela4[[#This Row],[Realizado
Fev]]-Tabela4[[#This Row],[Orçado
Fev]]</f>
        <v>0</v>
      </c>
      <c r="U47" s="39" t="str">
        <f t="shared" si="17"/>
        <v>-</v>
      </c>
      <c r="V47" s="28">
        <v>0</v>
      </c>
      <c r="W47" s="28">
        <v>0</v>
      </c>
      <c r="X47" s="30">
        <f>Tabela4[[#This Row],[Realizado
Mar]]-Tabela4[[#This Row],[Orçado
Mar]]</f>
        <v>0</v>
      </c>
      <c r="Y47" s="39" t="str">
        <f t="shared" si="18"/>
        <v>-</v>
      </c>
      <c r="Z47" s="28">
        <v>0</v>
      </c>
      <c r="AA47" s="28">
        <v>0</v>
      </c>
      <c r="AB47" s="30">
        <f>Tabela4[[#This Row],[Realizado
Abr]]-Tabela4[[#This Row],[Orçado
Abr]]</f>
        <v>0</v>
      </c>
      <c r="AC47" s="39" t="str">
        <f t="shared" si="19"/>
        <v>-</v>
      </c>
      <c r="AD47" s="28">
        <v>0</v>
      </c>
      <c r="AE47" s="28">
        <v>0</v>
      </c>
      <c r="AF47" s="30">
        <f>Tabela4[[#This Row],[Realizado
Mai]]-Tabela4[[#This Row],[Orçado
Mai]]</f>
        <v>0</v>
      </c>
      <c r="AG47" s="38" t="str">
        <f t="shared" si="20"/>
        <v>-</v>
      </c>
      <c r="AH47" s="28">
        <v>0</v>
      </c>
      <c r="AI47" s="28">
        <v>0</v>
      </c>
      <c r="AJ47" s="30">
        <f>Tabela4[[#This Row],[Realizado
Jun]]-Tabela4[[#This Row],[Orçado
Jun]]</f>
        <v>0</v>
      </c>
      <c r="AK47" s="38" t="str">
        <f t="shared" si="21"/>
        <v>-</v>
      </c>
      <c r="AL47" s="28">
        <v>0</v>
      </c>
      <c r="AM47" s="28">
        <v>0</v>
      </c>
      <c r="AN47" s="30">
        <f>Tabela4[[#This Row],[Realizado
Jul]]-Tabela4[[#This Row],[Orçado
Jul]]</f>
        <v>0</v>
      </c>
      <c r="AO47" s="38" t="str">
        <f t="shared" si="22"/>
        <v>-</v>
      </c>
      <c r="AP47" s="28">
        <v>0</v>
      </c>
      <c r="AQ47" s="28"/>
      <c r="AR47" s="29">
        <f>Tabela4[[#This Row],[Realizado
Ago]]-Tabela4[[#This Row],[Orçado
Ago]]</f>
        <v>0</v>
      </c>
      <c r="AS47" s="38" t="str">
        <f t="shared" si="23"/>
        <v>-</v>
      </c>
      <c r="AT47" s="28">
        <v>0</v>
      </c>
      <c r="AU47" s="28">
        <v>0</v>
      </c>
      <c r="AV47" s="29">
        <f>Tabela4[[#This Row],[Realizado
Set]]-Tabela4[[#This Row],[Orçado
Set]]</f>
        <v>0</v>
      </c>
      <c r="AW47" s="38" t="str">
        <f t="shared" si="24"/>
        <v>-</v>
      </c>
      <c r="AX47" s="28">
        <v>0</v>
      </c>
      <c r="AY47" s="28">
        <v>0</v>
      </c>
      <c r="AZ47" s="29">
        <f>Tabela4[[#This Row],[Realizado
Out]]-Tabela4[[#This Row],[Orçado
Out]]</f>
        <v>0</v>
      </c>
      <c r="BA47" s="38" t="str">
        <f t="shared" si="25"/>
        <v>-</v>
      </c>
      <c r="BB47" s="28">
        <v>0</v>
      </c>
      <c r="BC47" s="28">
        <v>0</v>
      </c>
      <c r="BD47" s="29">
        <f>Tabela4[[#This Row],[Realizado
Nov]]-Tabela4[[#This Row],[Orçado
Nov]]</f>
        <v>0</v>
      </c>
      <c r="BE47" s="38" t="str">
        <f t="shared" si="26"/>
        <v>-</v>
      </c>
      <c r="BF47" s="28">
        <v>0</v>
      </c>
      <c r="BG47" s="57">
        <v>0</v>
      </c>
      <c r="BH47" s="29">
        <f>Tabela4[[#This Row],[Realizado
Dez]]-Tabela4[[#This Row],[Orçado
Dez]]</f>
        <v>0</v>
      </c>
      <c r="BI47" s="38" t="str">
        <f t="shared" si="27"/>
        <v>-</v>
      </c>
      <c r="BJ47" s="29">
        <f t="shared" si="28"/>
        <v>0</v>
      </c>
      <c r="BK47" s="29">
        <f t="shared" si="29"/>
        <v>0</v>
      </c>
      <c r="BL47" s="34">
        <f t="shared" si="30"/>
        <v>0</v>
      </c>
      <c r="BM47" s="42" t="str">
        <f t="shared" si="31"/>
        <v>-</v>
      </c>
      <c r="BN47" s="36">
        <f>Tabela4[[#This Row],[Total Orçado
Ano]]-Tabela4[[#This Row],[Total Realizado
Ano]]</f>
        <v>0</v>
      </c>
      <c r="BO47" s="36">
        <f>Tabela4[[#This Row],[Total Orçado
Ano]]-Tabela4[[#This Row],[Total Realizado
Ano]]</f>
        <v>0</v>
      </c>
    </row>
    <row r="48" spans="1:67" s="23" customFormat="1" ht="12" x14ac:dyDescent="0.2">
      <c r="A48" s="25">
        <v>2030</v>
      </c>
      <c r="B48" s="14" t="s">
        <v>92</v>
      </c>
      <c r="C48" s="14" t="s">
        <v>139</v>
      </c>
      <c r="D48" s="23" t="s">
        <v>93</v>
      </c>
      <c r="E48" s="23" t="s">
        <v>2</v>
      </c>
      <c r="F48" s="23" t="s">
        <v>217</v>
      </c>
      <c r="H48" s="23" t="s">
        <v>115</v>
      </c>
      <c r="J48" s="23" t="s">
        <v>86</v>
      </c>
      <c r="K48" s="23" t="s">
        <v>96</v>
      </c>
      <c r="L48" s="23" t="s">
        <v>90</v>
      </c>
      <c r="M48" s="23" t="s">
        <v>310</v>
      </c>
      <c r="N48" s="28">
        <v>0</v>
      </c>
      <c r="O48" s="28">
        <v>0</v>
      </c>
      <c r="P48" s="30">
        <f>Tabela4[[#This Row],[Realizado
Jan]]-Tabela4[[#This Row],[Orçado
Jan]]</f>
        <v>0</v>
      </c>
      <c r="Q48" s="39" t="str">
        <f t="shared" si="16"/>
        <v>-</v>
      </c>
      <c r="R48" s="28">
        <v>17837</v>
      </c>
      <c r="S48" s="64">
        <v>36401.120000000003</v>
      </c>
      <c r="T48" s="30">
        <f>Tabela4[[#This Row],[Realizado
Fev]]-Tabela4[[#This Row],[Orçado
Fev]]</f>
        <v>18564.120000000003</v>
      </c>
      <c r="U48" s="39">
        <f t="shared" si="17"/>
        <v>1.0407647025845155</v>
      </c>
      <c r="V48" s="28">
        <v>0</v>
      </c>
      <c r="W48" s="28">
        <v>0</v>
      </c>
      <c r="X48" s="30">
        <f>Tabela4[[#This Row],[Realizado
Mar]]-Tabela4[[#This Row],[Orçado
Mar]]</f>
        <v>0</v>
      </c>
      <c r="Y48" s="39" t="str">
        <f t="shared" si="18"/>
        <v>-</v>
      </c>
      <c r="Z48" s="28">
        <v>0</v>
      </c>
      <c r="AA48" s="28">
        <v>0</v>
      </c>
      <c r="AB48" s="30">
        <f>Tabela4[[#This Row],[Realizado
Abr]]-Tabela4[[#This Row],[Orçado
Abr]]</f>
        <v>0</v>
      </c>
      <c r="AC48" s="39" t="str">
        <f t="shared" si="19"/>
        <v>-</v>
      </c>
      <c r="AD48" s="28">
        <v>54426</v>
      </c>
      <c r="AE48" s="28">
        <v>0</v>
      </c>
      <c r="AF48" s="30">
        <f>Tabela4[[#This Row],[Realizado
Mai]]-Tabela4[[#This Row],[Orçado
Mai]]</f>
        <v>-54426</v>
      </c>
      <c r="AG48" s="38">
        <f t="shared" si="20"/>
        <v>-1</v>
      </c>
      <c r="AH48" s="28">
        <v>0</v>
      </c>
      <c r="AI48" s="28">
        <v>0</v>
      </c>
      <c r="AJ48" s="30">
        <f>Tabela4[[#This Row],[Realizado
Jun]]-Tabela4[[#This Row],[Orçado
Jun]]</f>
        <v>0</v>
      </c>
      <c r="AK48" s="38" t="str">
        <f t="shared" si="21"/>
        <v>-</v>
      </c>
      <c r="AL48" s="28">
        <v>0</v>
      </c>
      <c r="AM48" s="28">
        <v>0</v>
      </c>
      <c r="AN48" s="30">
        <f>Tabela4[[#This Row],[Realizado
Jul]]-Tabela4[[#This Row],[Orçado
Jul]]</f>
        <v>0</v>
      </c>
      <c r="AO48" s="38" t="str">
        <f t="shared" si="22"/>
        <v>-</v>
      </c>
      <c r="AP48" s="28">
        <v>54426</v>
      </c>
      <c r="AQ48" s="28">
        <v>0</v>
      </c>
      <c r="AR48" s="29">
        <f>Tabela4[[#This Row],[Realizado
Ago]]-Tabela4[[#This Row],[Orçado
Ago]]</f>
        <v>-54426</v>
      </c>
      <c r="AS48" s="38">
        <f t="shared" si="23"/>
        <v>-1</v>
      </c>
      <c r="AT48" s="28">
        <v>0</v>
      </c>
      <c r="AU48" s="28">
        <v>0</v>
      </c>
      <c r="AV48" s="29">
        <f>Tabela4[[#This Row],[Realizado
Set]]-Tabela4[[#This Row],[Orçado
Set]]</f>
        <v>0</v>
      </c>
      <c r="AW48" s="38" t="str">
        <f t="shared" si="24"/>
        <v>-</v>
      </c>
      <c r="AX48" s="28">
        <v>0</v>
      </c>
      <c r="AY48" s="28">
        <v>0</v>
      </c>
      <c r="AZ48" s="29">
        <f>Tabela4[[#This Row],[Realizado
Out]]-Tabela4[[#This Row],[Orçado
Out]]</f>
        <v>0</v>
      </c>
      <c r="BA48" s="38" t="str">
        <f t="shared" si="25"/>
        <v>-</v>
      </c>
      <c r="BB48" s="28">
        <v>54426</v>
      </c>
      <c r="BC48" s="28">
        <v>0</v>
      </c>
      <c r="BD48" s="29">
        <f>Tabela4[[#This Row],[Realizado
Nov]]-Tabela4[[#This Row],[Orçado
Nov]]</f>
        <v>-54426</v>
      </c>
      <c r="BE48" s="38">
        <f t="shared" si="26"/>
        <v>-1</v>
      </c>
      <c r="BF48" s="28">
        <v>18142</v>
      </c>
      <c r="BG48" s="57">
        <v>0</v>
      </c>
      <c r="BH48" s="29">
        <f>Tabela4[[#This Row],[Realizado
Dez]]-Tabela4[[#This Row],[Orçado
Dez]]</f>
        <v>-18142</v>
      </c>
      <c r="BI48" s="38">
        <f t="shared" si="27"/>
        <v>-1</v>
      </c>
      <c r="BJ48" s="29">
        <f t="shared" si="28"/>
        <v>199257</v>
      </c>
      <c r="BK48" s="29">
        <f t="shared" si="29"/>
        <v>36401.120000000003</v>
      </c>
      <c r="BL48" s="34">
        <f t="shared" si="30"/>
        <v>-162855.88</v>
      </c>
      <c r="BM48" s="42">
        <f t="shared" si="31"/>
        <v>-0.81731572792925722</v>
      </c>
      <c r="BN48" s="36">
        <f>Tabela4[[#This Row],[Total Orçado
Ano]]-Tabela4[[#This Row],[Total Realizado
Ano]]</f>
        <v>162855.88</v>
      </c>
      <c r="BO48" s="36">
        <f>Tabela4[[#This Row],[Total Orçado
Ano]]-Tabela4[[#This Row],[Total Realizado
Ano]]</f>
        <v>162855.88</v>
      </c>
    </row>
    <row r="49" spans="1:67" s="23" customFormat="1" ht="12" x14ac:dyDescent="0.2">
      <c r="A49" s="25">
        <v>2026</v>
      </c>
      <c r="B49" s="14" t="s">
        <v>92</v>
      </c>
      <c r="C49" s="14" t="s">
        <v>139</v>
      </c>
      <c r="D49" s="23" t="s">
        <v>93</v>
      </c>
      <c r="E49" s="23" t="s">
        <v>2</v>
      </c>
      <c r="F49" s="23" t="s">
        <v>239</v>
      </c>
      <c r="H49" s="23" t="s">
        <v>116</v>
      </c>
      <c r="J49" s="23" t="s">
        <v>86</v>
      </c>
      <c r="K49" s="23" t="s">
        <v>96</v>
      </c>
      <c r="L49" s="23" t="s">
        <v>90</v>
      </c>
      <c r="M49" s="23" t="s">
        <v>249</v>
      </c>
      <c r="N49" s="28">
        <v>0</v>
      </c>
      <c r="O49" s="28">
        <v>82.34</v>
      </c>
      <c r="P49" s="30">
        <f>Tabela4[[#This Row],[Realizado
Jan]]-Tabela4[[#This Row],[Orçado
Jan]]</f>
        <v>82.34</v>
      </c>
      <c r="Q49" s="39" t="str">
        <f t="shared" si="16"/>
        <v>-</v>
      </c>
      <c r="R49" s="28">
        <v>0</v>
      </c>
      <c r="S49" s="28">
        <v>79.66</v>
      </c>
      <c r="T49" s="30">
        <f>Tabela4[[#This Row],[Realizado
Fev]]-Tabela4[[#This Row],[Orçado
Fev]]</f>
        <v>79.66</v>
      </c>
      <c r="U49" s="39" t="str">
        <f t="shared" si="17"/>
        <v>-</v>
      </c>
      <c r="V49" s="28">
        <v>0</v>
      </c>
      <c r="W49" s="28">
        <v>79.459999999999994</v>
      </c>
      <c r="X49" s="30">
        <f>Tabela4[[#This Row],[Realizado
Mar]]-Tabela4[[#This Row],[Orçado
Mar]]</f>
        <v>79.459999999999994</v>
      </c>
      <c r="Y49" s="39" t="str">
        <f t="shared" si="18"/>
        <v>-</v>
      </c>
      <c r="Z49" s="28">
        <v>0</v>
      </c>
      <c r="AA49" s="28">
        <v>0</v>
      </c>
      <c r="AB49" s="30">
        <f>Tabela4[[#This Row],[Realizado
Abr]]-Tabela4[[#This Row],[Orçado
Abr]]</f>
        <v>0</v>
      </c>
      <c r="AC49" s="39" t="str">
        <f t="shared" si="19"/>
        <v>-</v>
      </c>
      <c r="AD49" s="28">
        <v>0</v>
      </c>
      <c r="AE49" s="28">
        <v>0</v>
      </c>
      <c r="AF49" s="30">
        <f>Tabela4[[#This Row],[Realizado
Mai]]-Tabela4[[#This Row],[Orçado
Mai]]</f>
        <v>0</v>
      </c>
      <c r="AG49" s="38" t="str">
        <f t="shared" si="20"/>
        <v>-</v>
      </c>
      <c r="AH49" s="28">
        <v>0</v>
      </c>
      <c r="AI49" s="28">
        <v>0</v>
      </c>
      <c r="AJ49" s="30">
        <f>Tabela4[[#This Row],[Realizado
Jun]]-Tabela4[[#This Row],[Orçado
Jun]]</f>
        <v>0</v>
      </c>
      <c r="AK49" s="38" t="str">
        <f t="shared" si="21"/>
        <v>-</v>
      </c>
      <c r="AL49" s="28">
        <v>0</v>
      </c>
      <c r="AM49" s="28">
        <v>0</v>
      </c>
      <c r="AN49" s="30">
        <f>Tabela4[[#This Row],[Realizado
Jul]]-Tabela4[[#This Row],[Orçado
Jul]]</f>
        <v>0</v>
      </c>
      <c r="AO49" s="38" t="str">
        <f t="shared" si="22"/>
        <v>-</v>
      </c>
      <c r="AP49" s="28">
        <v>0</v>
      </c>
      <c r="AQ49" s="28">
        <v>0</v>
      </c>
      <c r="AR49" s="29">
        <f>Tabela4[[#This Row],[Realizado
Ago]]-Tabela4[[#This Row],[Orçado
Ago]]</f>
        <v>0</v>
      </c>
      <c r="AS49" s="38" t="str">
        <f t="shared" si="23"/>
        <v>-</v>
      </c>
      <c r="AT49" s="28">
        <v>0</v>
      </c>
      <c r="AU49" s="28">
        <v>0</v>
      </c>
      <c r="AV49" s="29">
        <f>Tabela4[[#This Row],[Realizado
Set]]-Tabela4[[#This Row],[Orçado
Set]]</f>
        <v>0</v>
      </c>
      <c r="AW49" s="38" t="str">
        <f t="shared" si="24"/>
        <v>-</v>
      </c>
      <c r="AX49" s="28">
        <v>0</v>
      </c>
      <c r="AY49" s="28">
        <v>0</v>
      </c>
      <c r="AZ49" s="29">
        <f>Tabela4[[#This Row],[Realizado
Out]]-Tabela4[[#This Row],[Orçado
Out]]</f>
        <v>0</v>
      </c>
      <c r="BA49" s="38" t="str">
        <f t="shared" si="25"/>
        <v>-</v>
      </c>
      <c r="BB49" s="28">
        <v>0</v>
      </c>
      <c r="BC49" s="28">
        <v>0</v>
      </c>
      <c r="BD49" s="29">
        <f>Tabela4[[#This Row],[Realizado
Nov]]-Tabela4[[#This Row],[Orçado
Nov]]</f>
        <v>0</v>
      </c>
      <c r="BE49" s="38" t="str">
        <f t="shared" si="26"/>
        <v>-</v>
      </c>
      <c r="BF49" s="28">
        <v>0</v>
      </c>
      <c r="BG49" s="57">
        <v>0</v>
      </c>
      <c r="BH49" s="29">
        <f>Tabela4[[#This Row],[Realizado
Dez]]-Tabela4[[#This Row],[Orçado
Dez]]</f>
        <v>0</v>
      </c>
      <c r="BI49" s="38" t="str">
        <f t="shared" si="27"/>
        <v>-</v>
      </c>
      <c r="BJ49" s="29">
        <f t="shared" si="28"/>
        <v>0</v>
      </c>
      <c r="BK49" s="29">
        <f t="shared" si="29"/>
        <v>241.46</v>
      </c>
      <c r="BL49" s="34">
        <f t="shared" si="30"/>
        <v>320.91999999999996</v>
      </c>
      <c r="BM49" s="42" t="str">
        <f t="shared" si="31"/>
        <v>-</v>
      </c>
      <c r="BN49" s="36">
        <f>Tabela4[[#This Row],[Total Orçado
Ano]]-Tabela4[[#This Row],[Total Realizado
Ano]]</f>
        <v>-241.46</v>
      </c>
      <c r="BO49" s="36">
        <f>Tabela4[[#This Row],[Total Orçado
Ano]]-Tabela4[[#This Row],[Total Realizado
Ano]]</f>
        <v>-241.46</v>
      </c>
    </row>
    <row r="50" spans="1:67" s="23" customFormat="1" ht="12" x14ac:dyDescent="0.2">
      <c r="A50" s="25">
        <v>2026</v>
      </c>
      <c r="B50" s="14" t="s">
        <v>92</v>
      </c>
      <c r="C50" s="14" t="s">
        <v>129</v>
      </c>
      <c r="D50" s="23" t="s">
        <v>93</v>
      </c>
      <c r="E50" s="23" t="s">
        <v>18</v>
      </c>
      <c r="F50" s="23" t="s">
        <v>220</v>
      </c>
      <c r="G50" s="23" t="s">
        <v>256</v>
      </c>
      <c r="H50" s="23" t="s">
        <v>257</v>
      </c>
      <c r="J50" s="23" t="s">
        <v>86</v>
      </c>
      <c r="K50" s="23" t="s">
        <v>96</v>
      </c>
      <c r="L50" s="23" t="s">
        <v>90</v>
      </c>
      <c r="M50" s="66" t="s">
        <v>304</v>
      </c>
      <c r="N50" s="28">
        <v>0</v>
      </c>
      <c r="O50" s="28">
        <v>0</v>
      </c>
      <c r="P50" s="30">
        <f>Tabela4[[#This Row],[Realizado
Jan]]-Tabela4[[#This Row],[Orçado
Jan]]</f>
        <v>0</v>
      </c>
      <c r="Q50" s="39" t="str">
        <f t="shared" si="16"/>
        <v>-</v>
      </c>
      <c r="R50" s="28">
        <v>0</v>
      </c>
      <c r="S50" s="28">
        <v>0</v>
      </c>
      <c r="T50" s="30">
        <f>Tabela4[[#This Row],[Realizado
Fev]]-Tabela4[[#This Row],[Orçado
Fev]]</f>
        <v>0</v>
      </c>
      <c r="U50" s="39" t="str">
        <f t="shared" si="17"/>
        <v>-</v>
      </c>
      <c r="V50" s="28">
        <v>0</v>
      </c>
      <c r="W50" s="28">
        <v>0</v>
      </c>
      <c r="X50" s="30">
        <f>Tabela4[[#This Row],[Realizado
Mar]]-Tabela4[[#This Row],[Orçado
Mar]]</f>
        <v>0</v>
      </c>
      <c r="Y50" s="39" t="str">
        <f t="shared" si="18"/>
        <v>-</v>
      </c>
      <c r="Z50" s="28">
        <v>0</v>
      </c>
      <c r="AA50" s="28">
        <v>0</v>
      </c>
      <c r="AB50" s="30">
        <f>Tabela4[[#This Row],[Realizado
Abr]]-Tabela4[[#This Row],[Orçado
Abr]]</f>
        <v>0</v>
      </c>
      <c r="AC50" s="39" t="str">
        <f t="shared" si="19"/>
        <v>-</v>
      </c>
      <c r="AD50" s="28">
        <v>0</v>
      </c>
      <c r="AE50" s="28">
        <v>0</v>
      </c>
      <c r="AF50" s="30">
        <f>Tabela4[[#This Row],[Realizado
Mai]]-Tabela4[[#This Row],[Orçado
Mai]]</f>
        <v>0</v>
      </c>
      <c r="AG50" s="38" t="str">
        <f t="shared" si="20"/>
        <v>-</v>
      </c>
      <c r="AH50" s="28">
        <v>0</v>
      </c>
      <c r="AI50" s="28">
        <v>0</v>
      </c>
      <c r="AJ50" s="30">
        <f>Tabela4[[#This Row],[Realizado
Jun]]-Tabela4[[#This Row],[Orçado
Jun]]</f>
        <v>0</v>
      </c>
      <c r="AK50" s="38" t="str">
        <f t="shared" si="21"/>
        <v>-</v>
      </c>
      <c r="AL50" s="28">
        <v>16500</v>
      </c>
      <c r="AM50" s="28">
        <v>0</v>
      </c>
      <c r="AN50" s="30">
        <f>Tabela4[[#This Row],[Realizado
Jul]]-Tabela4[[#This Row],[Orçado
Jul]]</f>
        <v>-16500</v>
      </c>
      <c r="AO50" s="38">
        <f t="shared" si="22"/>
        <v>-1</v>
      </c>
      <c r="AP50" s="28">
        <v>16500</v>
      </c>
      <c r="AQ50" s="28"/>
      <c r="AR50" s="29">
        <f>Tabela4[[#This Row],[Realizado
Ago]]-Tabela4[[#This Row],[Orçado
Ago]]</f>
        <v>-16500</v>
      </c>
      <c r="AS50" s="38">
        <f t="shared" si="23"/>
        <v>-1</v>
      </c>
      <c r="AT50" s="28">
        <v>16500</v>
      </c>
      <c r="AU50" s="28">
        <v>0</v>
      </c>
      <c r="AV50" s="29">
        <f>Tabela4[[#This Row],[Realizado
Set]]-Tabela4[[#This Row],[Orçado
Set]]</f>
        <v>-16500</v>
      </c>
      <c r="AW50" s="38">
        <f t="shared" si="24"/>
        <v>-1</v>
      </c>
      <c r="AX50" s="28">
        <v>16500</v>
      </c>
      <c r="AY50" s="28">
        <v>0</v>
      </c>
      <c r="AZ50" s="29">
        <f>Tabela4[[#This Row],[Realizado
Out]]-Tabela4[[#This Row],[Orçado
Out]]</f>
        <v>-16500</v>
      </c>
      <c r="BA50" s="38">
        <f t="shared" si="25"/>
        <v>-1</v>
      </c>
      <c r="BB50" s="28">
        <v>16500</v>
      </c>
      <c r="BC50" s="28">
        <v>0</v>
      </c>
      <c r="BD50" s="29">
        <f>Tabela4[[#This Row],[Realizado
Nov]]-Tabela4[[#This Row],[Orçado
Nov]]</f>
        <v>-16500</v>
      </c>
      <c r="BE50" s="38">
        <f t="shared" si="26"/>
        <v>-1</v>
      </c>
      <c r="BF50" s="28">
        <v>16500</v>
      </c>
      <c r="BG50" s="57">
        <v>0</v>
      </c>
      <c r="BH50" s="29">
        <f>Tabela4[[#This Row],[Realizado
Dez]]-Tabela4[[#This Row],[Orçado
Dez]]</f>
        <v>-16500</v>
      </c>
      <c r="BI50" s="38">
        <f t="shared" si="27"/>
        <v>-1</v>
      </c>
      <c r="BJ50" s="29">
        <f t="shared" si="28"/>
        <v>99000</v>
      </c>
      <c r="BK50" s="29">
        <f t="shared" si="29"/>
        <v>0</v>
      </c>
      <c r="BL50" s="34">
        <f t="shared" si="30"/>
        <v>-99000</v>
      </c>
      <c r="BM50" s="42">
        <f t="shared" si="31"/>
        <v>-1</v>
      </c>
      <c r="BN50" s="36">
        <f>Tabela4[[#This Row],[Total Orçado
Ano]]-Tabela4[[#This Row],[Total Realizado
Ano]]</f>
        <v>99000</v>
      </c>
      <c r="BO50" s="36">
        <f>Tabela4[[#This Row],[Total Orçado
Ano]]-Tabela4[[#This Row],[Total Realizado
Ano]]</f>
        <v>99000</v>
      </c>
    </row>
    <row r="51" spans="1:67" s="23" customFormat="1" ht="12" x14ac:dyDescent="0.2">
      <c r="A51" s="25">
        <v>2026</v>
      </c>
      <c r="B51" s="14" t="s">
        <v>92</v>
      </c>
      <c r="C51" s="14" t="s">
        <v>139</v>
      </c>
      <c r="D51" s="23" t="s">
        <v>93</v>
      </c>
      <c r="E51" s="23" t="s">
        <v>2</v>
      </c>
      <c r="F51" s="23" t="s">
        <v>183</v>
      </c>
      <c r="G51" s="23" t="s">
        <v>253</v>
      </c>
      <c r="H51" s="23" t="s">
        <v>100</v>
      </c>
      <c r="J51" s="23" t="s">
        <v>86</v>
      </c>
      <c r="K51" s="23" t="s">
        <v>96</v>
      </c>
      <c r="L51" s="23" t="s">
        <v>87</v>
      </c>
      <c r="M51" s="23" t="s">
        <v>254</v>
      </c>
      <c r="N51" s="28">
        <v>0</v>
      </c>
      <c r="O51" s="28">
        <v>0</v>
      </c>
      <c r="P51" s="30">
        <f>Tabela4[[#This Row],[Realizado
Jan]]-Tabela4[[#This Row],[Orçado
Jan]]</f>
        <v>0</v>
      </c>
      <c r="Q51" s="39" t="str">
        <f t="shared" si="16"/>
        <v>-</v>
      </c>
      <c r="R51" s="28">
        <v>0</v>
      </c>
      <c r="S51" s="28">
        <v>0</v>
      </c>
      <c r="T51" s="30">
        <f>Tabela4[[#This Row],[Realizado
Fev]]-Tabela4[[#This Row],[Orçado
Fev]]</f>
        <v>0</v>
      </c>
      <c r="U51" s="39" t="str">
        <f t="shared" si="17"/>
        <v>-</v>
      </c>
      <c r="V51" s="28"/>
      <c r="W51" s="28">
        <v>0</v>
      </c>
      <c r="X51" s="30">
        <f>Tabela4[[#This Row],[Realizado
Mar]]-Tabela4[[#This Row],[Orçado
Mar]]</f>
        <v>0</v>
      </c>
      <c r="Y51" s="39" t="str">
        <f t="shared" si="18"/>
        <v>-</v>
      </c>
      <c r="Z51" s="28">
        <v>0</v>
      </c>
      <c r="AA51" s="28">
        <v>0</v>
      </c>
      <c r="AB51" s="30">
        <f>Tabela4[[#This Row],[Realizado
Abr]]-Tabela4[[#This Row],[Orçado
Abr]]</f>
        <v>0</v>
      </c>
      <c r="AC51" s="39" t="str">
        <f t="shared" si="19"/>
        <v>-</v>
      </c>
      <c r="AD51" s="28">
        <v>0</v>
      </c>
      <c r="AE51" s="28">
        <v>0</v>
      </c>
      <c r="AF51" s="30">
        <f>Tabela4[[#This Row],[Realizado
Mai]]-Tabela4[[#This Row],[Orçado
Mai]]</f>
        <v>0</v>
      </c>
      <c r="AG51" s="38" t="str">
        <f t="shared" si="20"/>
        <v>-</v>
      </c>
      <c r="AH51" s="28"/>
      <c r="AI51" s="28">
        <v>0</v>
      </c>
      <c r="AJ51" s="30">
        <f>Tabela4[[#This Row],[Realizado
Jun]]-Tabela4[[#This Row],[Orçado
Jun]]</f>
        <v>0</v>
      </c>
      <c r="AK51" s="38" t="str">
        <f t="shared" si="21"/>
        <v>-</v>
      </c>
      <c r="AL51" s="28"/>
      <c r="AM51" s="28">
        <v>0</v>
      </c>
      <c r="AN51" s="30">
        <f>Tabela4[[#This Row],[Realizado
Jul]]-Tabela4[[#This Row],[Orçado
Jul]]</f>
        <v>0</v>
      </c>
      <c r="AO51" s="38" t="str">
        <f t="shared" si="22"/>
        <v>-</v>
      </c>
      <c r="AP51" s="28"/>
      <c r="AQ51" s="28">
        <v>0</v>
      </c>
      <c r="AR51" s="29">
        <f>Tabela4[[#This Row],[Realizado
Ago]]-Tabela4[[#This Row],[Orçado
Ago]]</f>
        <v>0</v>
      </c>
      <c r="AS51" s="38" t="str">
        <f t="shared" si="23"/>
        <v>-</v>
      </c>
      <c r="AT51" s="28">
        <v>5600</v>
      </c>
      <c r="AU51" s="28">
        <v>0</v>
      </c>
      <c r="AV51" s="29">
        <f>Tabela4[[#This Row],[Realizado
Set]]-Tabela4[[#This Row],[Orçado
Set]]</f>
        <v>-5600</v>
      </c>
      <c r="AW51" s="38">
        <f t="shared" si="24"/>
        <v>-1</v>
      </c>
      <c r="AX51" s="28">
        <v>5600</v>
      </c>
      <c r="AY51" s="28">
        <v>0</v>
      </c>
      <c r="AZ51" s="29">
        <f>Tabela4[[#This Row],[Realizado
Out]]-Tabela4[[#This Row],[Orçado
Out]]</f>
        <v>-5600</v>
      </c>
      <c r="BA51" s="38">
        <f t="shared" si="25"/>
        <v>-1</v>
      </c>
      <c r="BB51" s="28">
        <v>5600</v>
      </c>
      <c r="BC51" s="28">
        <v>0</v>
      </c>
      <c r="BD51" s="29">
        <f>Tabela4[[#This Row],[Realizado
Nov]]-Tabela4[[#This Row],[Orçado
Nov]]</f>
        <v>-5600</v>
      </c>
      <c r="BE51" s="38">
        <f t="shared" si="26"/>
        <v>-1</v>
      </c>
      <c r="BF51" s="28">
        <v>5600</v>
      </c>
      <c r="BG51" s="57">
        <v>0</v>
      </c>
      <c r="BH51" s="29">
        <f>Tabela4[[#This Row],[Realizado
Dez]]-Tabela4[[#This Row],[Orçado
Dez]]</f>
        <v>-5600</v>
      </c>
      <c r="BI51" s="38">
        <f t="shared" si="27"/>
        <v>-1</v>
      </c>
      <c r="BJ51" s="29">
        <f t="shared" si="28"/>
        <v>22400</v>
      </c>
      <c r="BK51" s="29">
        <f t="shared" si="29"/>
        <v>0</v>
      </c>
      <c r="BL51" s="34">
        <f t="shared" si="30"/>
        <v>-22400</v>
      </c>
      <c r="BM51" s="42">
        <f t="shared" si="31"/>
        <v>-1</v>
      </c>
      <c r="BN51" s="36">
        <f>Tabela4[[#This Row],[Total Orçado
Ano]]-Tabela4[[#This Row],[Total Realizado
Ano]]</f>
        <v>22400</v>
      </c>
      <c r="BO51" s="36">
        <f>Tabela4[[#This Row],[Total Orçado
Ano]]-Tabela4[[#This Row],[Total Realizado
Ano]]</f>
        <v>22400</v>
      </c>
    </row>
    <row r="52" spans="1:67" s="23" customFormat="1" ht="12" x14ac:dyDescent="0.2">
      <c r="A52" s="13">
        <v>2026</v>
      </c>
      <c r="B52" s="14" t="s">
        <v>92</v>
      </c>
      <c r="C52" s="14" t="s">
        <v>139</v>
      </c>
      <c r="D52" s="14" t="s">
        <v>93</v>
      </c>
      <c r="E52" s="14" t="s">
        <v>2</v>
      </c>
      <c r="F52" s="23" t="s">
        <v>183</v>
      </c>
      <c r="G52" s="14"/>
      <c r="H52" s="14" t="s">
        <v>100</v>
      </c>
      <c r="I52" s="14"/>
      <c r="J52" s="14" t="s">
        <v>86</v>
      </c>
      <c r="K52" s="14" t="s">
        <v>96</v>
      </c>
      <c r="L52" s="23" t="s">
        <v>90</v>
      </c>
      <c r="M52" s="63" t="s">
        <v>306</v>
      </c>
      <c r="N52" s="27">
        <v>7500</v>
      </c>
      <c r="O52" s="27">
        <v>2659.56</v>
      </c>
      <c r="P52" s="29">
        <f>Tabela4[[#This Row],[Realizado
Jan]]-Tabela4[[#This Row],[Orçado
Jan]]</f>
        <v>-4840.4400000000005</v>
      </c>
      <c r="Q52" s="38">
        <f t="shared" si="16"/>
        <v>-0.64539200000000008</v>
      </c>
      <c r="R52" s="27">
        <v>13100</v>
      </c>
      <c r="S52" s="27">
        <v>2659.56</v>
      </c>
      <c r="T52" s="29">
        <f>Tabela4[[#This Row],[Realizado
Fev]]-Tabela4[[#This Row],[Orçado
Fev]]</f>
        <v>-10440.44</v>
      </c>
      <c r="U52" s="38">
        <f t="shared" si="17"/>
        <v>-0.79698015267175581</v>
      </c>
      <c r="V52" s="27">
        <v>13100</v>
      </c>
      <c r="W52" s="64">
        <v>4995.2</v>
      </c>
      <c r="X52" s="29">
        <f>Tabela4[[#This Row],[Realizado
Mar]]-Tabela4[[#This Row],[Orçado
Mar]]</f>
        <v>-8104.8</v>
      </c>
      <c r="Y52" s="38">
        <f t="shared" si="18"/>
        <v>-0.61868702290076338</v>
      </c>
      <c r="Z52" s="27">
        <v>13100</v>
      </c>
      <c r="AA52" s="27">
        <v>0</v>
      </c>
      <c r="AB52" s="29">
        <f>Tabela4[[#This Row],[Realizado
Abr]]-Tabela4[[#This Row],[Orçado
Abr]]</f>
        <v>-13100</v>
      </c>
      <c r="AC52" s="38">
        <f t="shared" si="19"/>
        <v>-1</v>
      </c>
      <c r="AD52" s="27">
        <v>13100</v>
      </c>
      <c r="AE52" s="27">
        <v>0</v>
      </c>
      <c r="AF52" s="29">
        <f>Tabela4[[#This Row],[Realizado
Mai]]-Tabela4[[#This Row],[Orçado
Mai]]</f>
        <v>-13100</v>
      </c>
      <c r="AG52" s="38">
        <f t="shared" si="20"/>
        <v>-1</v>
      </c>
      <c r="AH52" s="27">
        <v>13100</v>
      </c>
      <c r="AI52" s="27">
        <v>0</v>
      </c>
      <c r="AJ52" s="29">
        <f>Tabela4[[#This Row],[Realizado
Jun]]-Tabela4[[#This Row],[Orçado
Jun]]</f>
        <v>-13100</v>
      </c>
      <c r="AK52" s="38">
        <f t="shared" si="21"/>
        <v>-1</v>
      </c>
      <c r="AL52" s="27">
        <v>13100</v>
      </c>
      <c r="AM52" s="27">
        <v>0</v>
      </c>
      <c r="AN52" s="29">
        <f>Tabela4[[#This Row],[Realizado
Jul]]-Tabela4[[#This Row],[Orçado
Jul]]</f>
        <v>-13100</v>
      </c>
      <c r="AO52" s="38">
        <f t="shared" si="22"/>
        <v>-1</v>
      </c>
      <c r="AP52" s="27">
        <v>13100</v>
      </c>
      <c r="AQ52" s="27">
        <v>0</v>
      </c>
      <c r="AR52" s="29">
        <f>Tabela4[[#This Row],[Realizado
Ago]]-Tabela4[[#This Row],[Orçado
Ago]]</f>
        <v>-13100</v>
      </c>
      <c r="AS52" s="38">
        <f t="shared" si="23"/>
        <v>-1</v>
      </c>
      <c r="AT52" s="27">
        <v>7500</v>
      </c>
      <c r="AU52" s="27">
        <v>0</v>
      </c>
      <c r="AV52" s="29">
        <f>Tabela4[[#This Row],[Realizado
Set]]-Tabela4[[#This Row],[Orçado
Set]]</f>
        <v>-7500</v>
      </c>
      <c r="AW52" s="38">
        <f t="shared" si="24"/>
        <v>-1</v>
      </c>
      <c r="AX52" s="27">
        <v>7500</v>
      </c>
      <c r="AY52" s="27">
        <v>0</v>
      </c>
      <c r="AZ52" s="29">
        <f>Tabela4[[#This Row],[Realizado
Out]]-Tabela4[[#This Row],[Orçado
Out]]</f>
        <v>-7500</v>
      </c>
      <c r="BA52" s="38">
        <f t="shared" si="25"/>
        <v>-1</v>
      </c>
      <c r="BB52" s="27">
        <v>7500</v>
      </c>
      <c r="BC52" s="27">
        <v>0</v>
      </c>
      <c r="BD52" s="29">
        <f>Tabela4[[#This Row],[Realizado
Nov]]-Tabela4[[#This Row],[Orçado
Nov]]</f>
        <v>-7500</v>
      </c>
      <c r="BE52" s="38">
        <f t="shared" si="26"/>
        <v>-1</v>
      </c>
      <c r="BF52" s="27">
        <v>7500</v>
      </c>
      <c r="BG52" s="56">
        <v>0</v>
      </c>
      <c r="BH52" s="29">
        <f>Tabela4[[#This Row],[Realizado
Dez]]-Tabela4[[#This Row],[Orçado
Dez]]</f>
        <v>-7500</v>
      </c>
      <c r="BI52" s="38">
        <f t="shared" si="27"/>
        <v>-1</v>
      </c>
      <c r="BJ52" s="29">
        <f t="shared" si="28"/>
        <v>129200</v>
      </c>
      <c r="BK52" s="29">
        <f t="shared" si="29"/>
        <v>10314.32</v>
      </c>
      <c r="BL52" s="34">
        <f t="shared" si="30"/>
        <v>-126990.48000000001</v>
      </c>
      <c r="BM52" s="42">
        <f t="shared" si="31"/>
        <v>-0.92016780185758507</v>
      </c>
      <c r="BN52" s="27">
        <f>Tabela4[[#This Row],[Total Orçado
Ano]]-Tabela4[[#This Row],[Total Realizado
Ano]]</f>
        <v>118885.68</v>
      </c>
      <c r="BO52" s="36">
        <f>Tabela4[[#This Row],[Total Orçado
Ano]]-Tabela4[[#This Row],[Total Realizado
Ano]]</f>
        <v>118885.68</v>
      </c>
    </row>
    <row r="53" spans="1:67" s="23" customFormat="1" ht="12" x14ac:dyDescent="0.2">
      <c r="A53" s="13">
        <v>2026</v>
      </c>
      <c r="B53" s="14" t="s">
        <v>92</v>
      </c>
      <c r="C53" s="14" t="s">
        <v>139</v>
      </c>
      <c r="D53" s="14" t="s">
        <v>93</v>
      </c>
      <c r="E53" s="14" t="s">
        <v>2</v>
      </c>
      <c r="F53" s="14" t="s">
        <v>238</v>
      </c>
      <c r="G53" s="14"/>
      <c r="H53" s="14" t="s">
        <v>100</v>
      </c>
      <c r="I53" s="14"/>
      <c r="J53" s="14" t="s">
        <v>86</v>
      </c>
      <c r="K53" s="14" t="s">
        <v>96</v>
      </c>
      <c r="L53" s="14" t="s">
        <v>88</v>
      </c>
      <c r="M53" s="23" t="s">
        <v>249</v>
      </c>
      <c r="N53" s="27">
        <v>0</v>
      </c>
      <c r="O53" s="27">
        <v>0</v>
      </c>
      <c r="P53" s="29">
        <f>Tabela4[[#This Row],[Realizado
Jan]]-Tabela4[[#This Row],[Orçado
Jan]]</f>
        <v>0</v>
      </c>
      <c r="Q53" s="38" t="str">
        <f t="shared" si="16"/>
        <v>-</v>
      </c>
      <c r="R53" s="27">
        <v>0</v>
      </c>
      <c r="S53" s="27">
        <v>0</v>
      </c>
      <c r="T53" s="29">
        <f>Tabela4[[#This Row],[Realizado
Fev]]-Tabela4[[#This Row],[Orçado
Fev]]</f>
        <v>0</v>
      </c>
      <c r="U53" s="38" t="str">
        <f t="shared" si="17"/>
        <v>-</v>
      </c>
      <c r="V53" s="27">
        <v>0</v>
      </c>
      <c r="W53" s="27">
        <v>0</v>
      </c>
      <c r="X53" s="29">
        <f>Tabela4[[#This Row],[Realizado
Mar]]-Tabela4[[#This Row],[Orçado
Mar]]</f>
        <v>0</v>
      </c>
      <c r="Y53" s="38" t="str">
        <f t="shared" si="18"/>
        <v>-</v>
      </c>
      <c r="Z53" s="27">
        <v>0</v>
      </c>
      <c r="AA53" s="27">
        <v>0</v>
      </c>
      <c r="AB53" s="29">
        <f>Tabela4[[#This Row],[Realizado
Abr]]-Tabela4[[#This Row],[Orçado
Abr]]</f>
        <v>0</v>
      </c>
      <c r="AC53" s="38" t="str">
        <f t="shared" si="19"/>
        <v>-</v>
      </c>
      <c r="AD53" s="27">
        <v>0</v>
      </c>
      <c r="AE53" s="27">
        <v>0</v>
      </c>
      <c r="AF53" s="29">
        <f>Tabela4[[#This Row],[Realizado
Mai]]-Tabela4[[#This Row],[Orçado
Mai]]</f>
        <v>0</v>
      </c>
      <c r="AG53" s="38" t="str">
        <f t="shared" si="20"/>
        <v>-</v>
      </c>
      <c r="AH53" s="27">
        <v>0</v>
      </c>
      <c r="AI53" s="27">
        <v>0</v>
      </c>
      <c r="AJ53" s="29">
        <f>Tabela4[[#This Row],[Realizado
Jun]]-Tabela4[[#This Row],[Orçado
Jun]]</f>
        <v>0</v>
      </c>
      <c r="AK53" s="38" t="str">
        <f t="shared" si="21"/>
        <v>-</v>
      </c>
      <c r="AL53" s="27">
        <v>0</v>
      </c>
      <c r="AM53" s="27">
        <v>0</v>
      </c>
      <c r="AN53" s="29">
        <f>Tabela4[[#This Row],[Realizado
Jul]]-Tabela4[[#This Row],[Orçado
Jul]]</f>
        <v>0</v>
      </c>
      <c r="AO53" s="38" t="str">
        <f t="shared" si="22"/>
        <v>-</v>
      </c>
      <c r="AP53" s="27">
        <v>0</v>
      </c>
      <c r="AQ53" s="27">
        <v>0</v>
      </c>
      <c r="AR53" s="29">
        <f>Tabela4[[#This Row],[Realizado
Ago]]-Tabela4[[#This Row],[Orçado
Ago]]</f>
        <v>0</v>
      </c>
      <c r="AS53" s="38" t="str">
        <f t="shared" si="23"/>
        <v>-</v>
      </c>
      <c r="AT53" s="27">
        <v>0</v>
      </c>
      <c r="AU53" s="27">
        <v>0</v>
      </c>
      <c r="AV53" s="29">
        <f>Tabela4[[#This Row],[Realizado
Set]]-Tabela4[[#This Row],[Orçado
Set]]</f>
        <v>0</v>
      </c>
      <c r="AW53" s="38" t="str">
        <f t="shared" si="24"/>
        <v>-</v>
      </c>
      <c r="AX53" s="27">
        <v>0</v>
      </c>
      <c r="AY53" s="27">
        <v>0</v>
      </c>
      <c r="AZ53" s="29">
        <f>Tabela4[[#This Row],[Realizado
Out]]-Tabela4[[#This Row],[Orçado
Out]]</f>
        <v>0</v>
      </c>
      <c r="BA53" s="38" t="str">
        <f t="shared" si="25"/>
        <v>-</v>
      </c>
      <c r="BB53" s="27">
        <v>0</v>
      </c>
      <c r="BC53" s="27">
        <v>0</v>
      </c>
      <c r="BD53" s="29">
        <f>Tabela4[[#This Row],[Realizado
Nov]]-Tabela4[[#This Row],[Orçado
Nov]]</f>
        <v>0</v>
      </c>
      <c r="BE53" s="38" t="str">
        <f t="shared" si="26"/>
        <v>-</v>
      </c>
      <c r="BF53" s="27">
        <v>0</v>
      </c>
      <c r="BG53" s="56">
        <v>0</v>
      </c>
      <c r="BH53" s="29">
        <f>Tabela4[[#This Row],[Realizado
Dez]]-Tabela4[[#This Row],[Orçado
Dez]]</f>
        <v>0</v>
      </c>
      <c r="BI53" s="38" t="str">
        <f t="shared" si="27"/>
        <v>-</v>
      </c>
      <c r="BJ53" s="29">
        <f t="shared" si="28"/>
        <v>0</v>
      </c>
      <c r="BK53" s="29">
        <f t="shared" si="29"/>
        <v>0</v>
      </c>
      <c r="BL53" s="34">
        <f t="shared" si="30"/>
        <v>0</v>
      </c>
      <c r="BM53" s="42" t="str">
        <f t="shared" si="31"/>
        <v>-</v>
      </c>
      <c r="BN53" s="27">
        <f>Tabela4[[#This Row],[Total Orçado
Ano]]-Tabela4[[#This Row],[Total Realizado
Ano]]</f>
        <v>0</v>
      </c>
      <c r="BO53" s="36">
        <f>Tabela4[[#This Row],[Total Orçado
Ano]]-Tabela4[[#This Row],[Total Realizado
Ano]]</f>
        <v>0</v>
      </c>
    </row>
    <row r="54" spans="1:67" s="23" customFormat="1" ht="12" x14ac:dyDescent="0.2">
      <c r="A54" s="25">
        <v>2026</v>
      </c>
      <c r="B54" s="14" t="s">
        <v>92</v>
      </c>
      <c r="C54" s="14" t="s">
        <v>139</v>
      </c>
      <c r="D54" s="23" t="s">
        <v>93</v>
      </c>
      <c r="E54" s="23" t="s">
        <v>2</v>
      </c>
      <c r="F54" s="23" t="s">
        <v>191</v>
      </c>
      <c r="H54" s="23" t="s">
        <v>100</v>
      </c>
      <c r="J54" s="23" t="s">
        <v>86</v>
      </c>
      <c r="K54" s="23" t="s">
        <v>96</v>
      </c>
      <c r="L54" s="23" t="s">
        <v>88</v>
      </c>
      <c r="N54" s="28">
        <v>1494</v>
      </c>
      <c r="O54" s="28">
        <v>2315.08</v>
      </c>
      <c r="P54" s="30">
        <f>Tabela4[[#This Row],[Realizado
Jan]]-Tabela4[[#This Row],[Orçado
Jan]]</f>
        <v>821.07999999999993</v>
      </c>
      <c r="Q54" s="39">
        <f t="shared" si="16"/>
        <v>0.54958500669344035</v>
      </c>
      <c r="R54" s="28">
        <v>1494</v>
      </c>
      <c r="S54" s="28">
        <v>2315.08</v>
      </c>
      <c r="T54" s="30">
        <f>Tabela4[[#This Row],[Realizado
Fev]]-Tabela4[[#This Row],[Orçado
Fev]]</f>
        <v>821.07999999999993</v>
      </c>
      <c r="U54" s="39">
        <f t="shared" si="17"/>
        <v>0.54958500669344035</v>
      </c>
      <c r="V54" s="28">
        <v>1559</v>
      </c>
      <c r="W54" s="28">
        <v>2315.08</v>
      </c>
      <c r="X54" s="30">
        <f>Tabela4[[#This Row],[Realizado
Mar]]-Tabela4[[#This Row],[Orçado
Mar]]</f>
        <v>756.07999999999993</v>
      </c>
      <c r="Y54" s="39">
        <f t="shared" si="18"/>
        <v>0.48497754971135337</v>
      </c>
      <c r="Z54" s="28">
        <v>1559</v>
      </c>
      <c r="AA54" s="28">
        <v>0</v>
      </c>
      <c r="AB54" s="30">
        <f>Tabela4[[#This Row],[Realizado
Abr]]-Tabela4[[#This Row],[Orçado
Abr]]</f>
        <v>-1559</v>
      </c>
      <c r="AC54" s="39">
        <f t="shared" si="19"/>
        <v>-1</v>
      </c>
      <c r="AD54" s="28">
        <v>1637</v>
      </c>
      <c r="AE54" s="28">
        <v>0</v>
      </c>
      <c r="AF54" s="30">
        <f>Tabela4[[#This Row],[Realizado
Mai]]-Tabela4[[#This Row],[Orçado
Mai]]</f>
        <v>-1637</v>
      </c>
      <c r="AG54" s="38">
        <f t="shared" si="20"/>
        <v>-1</v>
      </c>
      <c r="AH54" s="28">
        <v>1637</v>
      </c>
      <c r="AI54" s="28">
        <v>0</v>
      </c>
      <c r="AJ54" s="30">
        <f>Tabela4[[#This Row],[Realizado
Jun]]-Tabela4[[#This Row],[Orçado
Jun]]</f>
        <v>-1637</v>
      </c>
      <c r="AK54" s="38">
        <f t="shared" si="21"/>
        <v>-1</v>
      </c>
      <c r="AL54" s="28">
        <v>1637</v>
      </c>
      <c r="AM54" s="28">
        <v>0</v>
      </c>
      <c r="AN54" s="30">
        <f>Tabela4[[#This Row],[Realizado
Jul]]-Tabela4[[#This Row],[Orçado
Jul]]</f>
        <v>-1637</v>
      </c>
      <c r="AO54" s="38">
        <f t="shared" si="22"/>
        <v>-1</v>
      </c>
      <c r="AP54" s="28">
        <v>1637</v>
      </c>
      <c r="AQ54" s="28">
        <v>0</v>
      </c>
      <c r="AR54" s="29">
        <f>Tabela4[[#This Row],[Realizado
Ago]]-Tabela4[[#This Row],[Orçado
Ago]]</f>
        <v>-1637</v>
      </c>
      <c r="AS54" s="38">
        <f t="shared" si="23"/>
        <v>-1</v>
      </c>
      <c r="AT54" s="28">
        <v>1637</v>
      </c>
      <c r="AU54" s="28">
        <v>0</v>
      </c>
      <c r="AV54" s="29">
        <f>Tabela4[[#This Row],[Realizado
Set]]-Tabela4[[#This Row],[Orçado
Set]]</f>
        <v>-1637</v>
      </c>
      <c r="AW54" s="38">
        <f t="shared" si="24"/>
        <v>-1</v>
      </c>
      <c r="AX54" s="28">
        <v>1637</v>
      </c>
      <c r="AY54" s="28">
        <v>0</v>
      </c>
      <c r="AZ54" s="29">
        <f>Tabela4[[#This Row],[Realizado
Out]]-Tabela4[[#This Row],[Orçado
Out]]</f>
        <v>-1637</v>
      </c>
      <c r="BA54" s="38">
        <f t="shared" si="25"/>
        <v>-1</v>
      </c>
      <c r="BB54" s="28">
        <v>1637</v>
      </c>
      <c r="BC54" s="28">
        <v>0</v>
      </c>
      <c r="BD54" s="29">
        <f>Tabela4[[#This Row],[Realizado
Nov]]-Tabela4[[#This Row],[Orçado
Nov]]</f>
        <v>-1637</v>
      </c>
      <c r="BE54" s="38">
        <f t="shared" si="26"/>
        <v>-1</v>
      </c>
      <c r="BF54" s="28">
        <v>1637</v>
      </c>
      <c r="BG54" s="57">
        <v>0</v>
      </c>
      <c r="BH54" s="29">
        <f>Tabela4[[#This Row],[Realizado
Dez]]-Tabela4[[#This Row],[Orçado
Dez]]</f>
        <v>-1637</v>
      </c>
      <c r="BI54" s="38">
        <f t="shared" si="27"/>
        <v>-1</v>
      </c>
      <c r="BJ54" s="29">
        <f t="shared" si="28"/>
        <v>19202</v>
      </c>
      <c r="BK54" s="29">
        <f t="shared" si="29"/>
        <v>6945.24</v>
      </c>
      <c r="BL54" s="34">
        <f t="shared" si="30"/>
        <v>-11500.68</v>
      </c>
      <c r="BM54" s="42">
        <f t="shared" si="31"/>
        <v>-0.63830642641391522</v>
      </c>
      <c r="BN54" s="36">
        <f>Tabela4[[#This Row],[Total Orçado
Ano]]-Tabela4[[#This Row],[Total Realizado
Ano]]</f>
        <v>12256.76</v>
      </c>
      <c r="BO54" s="36">
        <f>Tabela4[[#This Row],[Total Orçado
Ano]]-Tabela4[[#This Row],[Total Realizado
Ano]]</f>
        <v>12256.76</v>
      </c>
    </row>
    <row r="55" spans="1:67" s="23" customFormat="1" ht="12" x14ac:dyDescent="0.2">
      <c r="A55" s="25">
        <v>2026</v>
      </c>
      <c r="B55" s="14" t="s">
        <v>92</v>
      </c>
      <c r="C55" s="14" t="s">
        <v>139</v>
      </c>
      <c r="D55" s="23" t="s">
        <v>93</v>
      </c>
      <c r="E55" s="23" t="s">
        <v>2</v>
      </c>
      <c r="F55" s="23" t="s">
        <v>193</v>
      </c>
      <c r="H55" s="23" t="s">
        <v>100</v>
      </c>
      <c r="J55" s="23" t="s">
        <v>86</v>
      </c>
      <c r="K55" s="23" t="s">
        <v>96</v>
      </c>
      <c r="L55" s="23" t="s">
        <v>88</v>
      </c>
      <c r="N55" s="28">
        <v>4218</v>
      </c>
      <c r="O55" s="28">
        <v>3998.12</v>
      </c>
      <c r="P55" s="30">
        <f>Tabela4[[#This Row],[Realizado
Jan]]-Tabela4[[#This Row],[Orçado
Jan]]</f>
        <v>-219.88000000000011</v>
      </c>
      <c r="Q55" s="39">
        <f t="shared" si="16"/>
        <v>-5.2128971076339521E-2</v>
      </c>
      <c r="R55" s="28">
        <v>4218</v>
      </c>
      <c r="S55" s="28">
        <v>3998.12</v>
      </c>
      <c r="T55" s="30">
        <f>Tabela4[[#This Row],[Realizado
Fev]]-Tabela4[[#This Row],[Orçado
Fev]]</f>
        <v>-219.88000000000011</v>
      </c>
      <c r="U55" s="39">
        <f t="shared" si="17"/>
        <v>-5.2128971076339521E-2</v>
      </c>
      <c r="V55" s="28">
        <v>4402</v>
      </c>
      <c r="W55" s="28">
        <v>3998.12</v>
      </c>
      <c r="X55" s="30">
        <f>Tabela4[[#This Row],[Realizado
Mar]]-Tabela4[[#This Row],[Orçado
Mar]]</f>
        <v>-403.88000000000011</v>
      </c>
      <c r="Y55" s="39">
        <f t="shared" si="18"/>
        <v>-9.1749204906860546E-2</v>
      </c>
      <c r="Z55" s="28">
        <v>4402</v>
      </c>
      <c r="AA55" s="28">
        <v>0</v>
      </c>
      <c r="AB55" s="30">
        <f>Tabela4[[#This Row],[Realizado
Abr]]-Tabela4[[#This Row],[Orçado
Abr]]</f>
        <v>-4402</v>
      </c>
      <c r="AC55" s="39">
        <f t="shared" si="19"/>
        <v>-1</v>
      </c>
      <c r="AD55" s="28">
        <v>4632</v>
      </c>
      <c r="AE55" s="28">
        <v>0</v>
      </c>
      <c r="AF55" s="30">
        <f>Tabela4[[#This Row],[Realizado
Mai]]-Tabela4[[#This Row],[Orçado
Mai]]</f>
        <v>-4632</v>
      </c>
      <c r="AG55" s="38">
        <f t="shared" si="20"/>
        <v>-1</v>
      </c>
      <c r="AH55" s="28">
        <v>4632</v>
      </c>
      <c r="AI55" s="28">
        <v>0</v>
      </c>
      <c r="AJ55" s="30">
        <f>Tabela4[[#This Row],[Realizado
Jun]]-Tabela4[[#This Row],[Orçado
Jun]]</f>
        <v>-4632</v>
      </c>
      <c r="AK55" s="38">
        <f t="shared" si="21"/>
        <v>-1</v>
      </c>
      <c r="AL55" s="28">
        <v>4632</v>
      </c>
      <c r="AM55" s="28">
        <v>0</v>
      </c>
      <c r="AN55" s="30">
        <f>Tabela4[[#This Row],[Realizado
Jul]]-Tabela4[[#This Row],[Orçado
Jul]]</f>
        <v>-4632</v>
      </c>
      <c r="AO55" s="38">
        <f t="shared" si="22"/>
        <v>-1</v>
      </c>
      <c r="AP55" s="28">
        <v>4632</v>
      </c>
      <c r="AQ55" s="28">
        <v>0</v>
      </c>
      <c r="AR55" s="29">
        <f>Tabela4[[#This Row],[Realizado
Ago]]-Tabela4[[#This Row],[Orçado
Ago]]</f>
        <v>-4632</v>
      </c>
      <c r="AS55" s="38">
        <f t="shared" si="23"/>
        <v>-1</v>
      </c>
      <c r="AT55" s="28">
        <v>4632</v>
      </c>
      <c r="AU55" s="28">
        <v>0</v>
      </c>
      <c r="AV55" s="29">
        <f>Tabela4[[#This Row],[Realizado
Set]]-Tabela4[[#This Row],[Orçado
Set]]</f>
        <v>-4632</v>
      </c>
      <c r="AW55" s="38">
        <f t="shared" si="24"/>
        <v>-1</v>
      </c>
      <c r="AX55" s="28">
        <v>4632</v>
      </c>
      <c r="AY55" s="28">
        <v>0</v>
      </c>
      <c r="AZ55" s="29">
        <f>Tabela4[[#This Row],[Realizado
Out]]-Tabela4[[#This Row],[Orçado
Out]]</f>
        <v>-4632</v>
      </c>
      <c r="BA55" s="38">
        <f t="shared" si="25"/>
        <v>-1</v>
      </c>
      <c r="BB55" s="28">
        <v>4632</v>
      </c>
      <c r="BC55" s="28">
        <v>0</v>
      </c>
      <c r="BD55" s="29">
        <f>Tabela4[[#This Row],[Realizado
Nov]]-Tabela4[[#This Row],[Orçado
Nov]]</f>
        <v>-4632</v>
      </c>
      <c r="BE55" s="38">
        <f t="shared" si="26"/>
        <v>-1</v>
      </c>
      <c r="BF55" s="28">
        <v>4632</v>
      </c>
      <c r="BG55" s="57">
        <v>0</v>
      </c>
      <c r="BH55" s="29">
        <f>Tabela4[[#This Row],[Realizado
Dez]]-Tabela4[[#This Row],[Orçado
Dez]]</f>
        <v>-4632</v>
      </c>
      <c r="BI55" s="38">
        <f t="shared" si="27"/>
        <v>-1</v>
      </c>
      <c r="BJ55" s="29">
        <f t="shared" si="28"/>
        <v>54296</v>
      </c>
      <c r="BK55" s="29">
        <f t="shared" si="29"/>
        <v>11994.36</v>
      </c>
      <c r="BL55" s="34">
        <f t="shared" si="30"/>
        <v>-42705.51999999999</v>
      </c>
      <c r="BM55" s="42">
        <f t="shared" si="31"/>
        <v>-0.77909311919846769</v>
      </c>
      <c r="BN55" s="36">
        <f>Tabela4[[#This Row],[Total Orçado
Ano]]-Tabela4[[#This Row],[Total Realizado
Ano]]</f>
        <v>42301.64</v>
      </c>
      <c r="BO55" s="36">
        <f>Tabela4[[#This Row],[Total Orçado
Ano]]-Tabela4[[#This Row],[Total Realizado
Ano]]</f>
        <v>42301.64</v>
      </c>
    </row>
    <row r="56" spans="1:67" s="23" customFormat="1" ht="12" x14ac:dyDescent="0.2">
      <c r="A56" s="25">
        <v>2026</v>
      </c>
      <c r="B56" s="14" t="s">
        <v>92</v>
      </c>
      <c r="C56" s="14" t="s">
        <v>139</v>
      </c>
      <c r="D56" s="23" t="s">
        <v>93</v>
      </c>
      <c r="E56" s="23" t="s">
        <v>2</v>
      </c>
      <c r="F56" s="23" t="s">
        <v>194</v>
      </c>
      <c r="H56" s="23" t="s">
        <v>100</v>
      </c>
      <c r="J56" s="23" t="s">
        <v>86</v>
      </c>
      <c r="K56" s="23" t="s">
        <v>96</v>
      </c>
      <c r="L56" s="23" t="s">
        <v>88</v>
      </c>
      <c r="N56" s="28">
        <v>2833</v>
      </c>
      <c r="O56" s="28">
        <v>2849.69</v>
      </c>
      <c r="P56" s="30">
        <f>Tabela4[[#This Row],[Realizado
Jan]]-Tabela4[[#This Row],[Orçado
Jan]]</f>
        <v>16.690000000000055</v>
      </c>
      <c r="Q56" s="39">
        <f t="shared" si="16"/>
        <v>5.891281327214986E-3</v>
      </c>
      <c r="R56" s="28">
        <v>2833</v>
      </c>
      <c r="S56" s="28">
        <v>2807.14</v>
      </c>
      <c r="T56" s="30">
        <f>Tabela4[[#This Row],[Realizado
Fev]]-Tabela4[[#This Row],[Orçado
Fev]]</f>
        <v>-25.860000000000127</v>
      </c>
      <c r="U56" s="39">
        <f t="shared" si="17"/>
        <v>-9.1281327214966911E-3</v>
      </c>
      <c r="V56" s="28">
        <v>2956</v>
      </c>
      <c r="W56" s="28">
        <v>2807.14</v>
      </c>
      <c r="X56" s="30">
        <f>Tabela4[[#This Row],[Realizado
Mar]]-Tabela4[[#This Row],[Orçado
Mar]]</f>
        <v>-148.86000000000013</v>
      </c>
      <c r="Y56" s="39">
        <f t="shared" si="18"/>
        <v>-5.0358592692828191E-2</v>
      </c>
      <c r="Z56" s="28">
        <v>2956</v>
      </c>
      <c r="AA56" s="28">
        <v>0</v>
      </c>
      <c r="AB56" s="30">
        <f>Tabela4[[#This Row],[Realizado
Abr]]-Tabela4[[#This Row],[Orçado
Abr]]</f>
        <v>-2956</v>
      </c>
      <c r="AC56" s="39">
        <f t="shared" si="19"/>
        <v>-1</v>
      </c>
      <c r="AD56" s="28">
        <v>3109</v>
      </c>
      <c r="AE56" s="28">
        <v>0</v>
      </c>
      <c r="AF56" s="30">
        <f>Tabela4[[#This Row],[Realizado
Mai]]-Tabela4[[#This Row],[Orçado
Mai]]</f>
        <v>-3109</v>
      </c>
      <c r="AG56" s="38">
        <f t="shared" si="20"/>
        <v>-1</v>
      </c>
      <c r="AH56" s="28">
        <v>3109</v>
      </c>
      <c r="AI56" s="28">
        <v>0</v>
      </c>
      <c r="AJ56" s="30">
        <f>Tabela4[[#This Row],[Realizado
Jun]]-Tabela4[[#This Row],[Orçado
Jun]]</f>
        <v>-3109</v>
      </c>
      <c r="AK56" s="38">
        <f t="shared" si="21"/>
        <v>-1</v>
      </c>
      <c r="AL56" s="28">
        <v>3109</v>
      </c>
      <c r="AM56" s="28">
        <v>0</v>
      </c>
      <c r="AN56" s="30">
        <f>Tabela4[[#This Row],[Realizado
Jul]]-Tabela4[[#This Row],[Orçado
Jul]]</f>
        <v>-3109</v>
      </c>
      <c r="AO56" s="38">
        <f t="shared" si="22"/>
        <v>-1</v>
      </c>
      <c r="AP56" s="28">
        <v>3109</v>
      </c>
      <c r="AQ56" s="28">
        <v>0</v>
      </c>
      <c r="AR56" s="29">
        <f>Tabela4[[#This Row],[Realizado
Ago]]-Tabela4[[#This Row],[Orçado
Ago]]</f>
        <v>-3109</v>
      </c>
      <c r="AS56" s="38">
        <f t="shared" si="23"/>
        <v>-1</v>
      </c>
      <c r="AT56" s="28">
        <v>3109</v>
      </c>
      <c r="AU56" s="28">
        <v>0</v>
      </c>
      <c r="AV56" s="29">
        <f>Tabela4[[#This Row],[Realizado
Set]]-Tabela4[[#This Row],[Orçado
Set]]</f>
        <v>-3109</v>
      </c>
      <c r="AW56" s="38">
        <f t="shared" si="24"/>
        <v>-1</v>
      </c>
      <c r="AX56" s="28">
        <v>3109</v>
      </c>
      <c r="AY56" s="28">
        <v>0</v>
      </c>
      <c r="AZ56" s="29">
        <f>Tabela4[[#This Row],[Realizado
Out]]-Tabela4[[#This Row],[Orçado
Out]]</f>
        <v>-3109</v>
      </c>
      <c r="BA56" s="38">
        <f t="shared" si="25"/>
        <v>-1</v>
      </c>
      <c r="BB56" s="28">
        <v>3109</v>
      </c>
      <c r="BC56" s="28">
        <v>0</v>
      </c>
      <c r="BD56" s="29">
        <f>Tabela4[[#This Row],[Realizado
Nov]]-Tabela4[[#This Row],[Orçado
Nov]]</f>
        <v>-3109</v>
      </c>
      <c r="BE56" s="38">
        <f t="shared" si="26"/>
        <v>-1</v>
      </c>
      <c r="BF56" s="28">
        <v>3109</v>
      </c>
      <c r="BG56" s="57">
        <v>0</v>
      </c>
      <c r="BH56" s="29">
        <f>Tabela4[[#This Row],[Realizado
Dez]]-Tabela4[[#This Row],[Orçado
Dez]]</f>
        <v>-3109</v>
      </c>
      <c r="BI56" s="38">
        <f t="shared" si="27"/>
        <v>-1</v>
      </c>
      <c r="BJ56" s="29">
        <f t="shared" si="28"/>
        <v>36450</v>
      </c>
      <c r="BK56" s="29">
        <f t="shared" si="29"/>
        <v>8463.9699999999993</v>
      </c>
      <c r="BL56" s="34">
        <f t="shared" si="30"/>
        <v>-28134.890000000003</v>
      </c>
      <c r="BM56" s="42">
        <f t="shared" si="31"/>
        <v>-0.76779231824417005</v>
      </c>
      <c r="BN56" s="36">
        <f>Tabela4[[#This Row],[Total Orçado
Ano]]-Tabela4[[#This Row],[Total Realizado
Ano]]</f>
        <v>27986.03</v>
      </c>
      <c r="BO56" s="36">
        <f>Tabela4[[#This Row],[Total Orçado
Ano]]-Tabela4[[#This Row],[Total Realizado
Ano]]</f>
        <v>27986.03</v>
      </c>
    </row>
    <row r="57" spans="1:67" s="23" customFormat="1" ht="12" x14ac:dyDescent="0.2">
      <c r="A57" s="25">
        <v>2026</v>
      </c>
      <c r="B57" s="14" t="s">
        <v>92</v>
      </c>
      <c r="C57" s="14" t="s">
        <v>139</v>
      </c>
      <c r="D57" s="23" t="s">
        <v>93</v>
      </c>
      <c r="E57" s="23" t="s">
        <v>2</v>
      </c>
      <c r="F57" s="23" t="s">
        <v>195</v>
      </c>
      <c r="H57" s="23" t="s">
        <v>100</v>
      </c>
      <c r="J57" s="23" t="s">
        <v>86</v>
      </c>
      <c r="K57" s="23" t="s">
        <v>96</v>
      </c>
      <c r="L57" s="23" t="s">
        <v>88</v>
      </c>
      <c r="N57" s="28">
        <v>98</v>
      </c>
      <c r="O57" s="28">
        <v>48.9</v>
      </c>
      <c r="P57" s="30">
        <f>Tabela4[[#This Row],[Realizado
Jan]]-Tabela4[[#This Row],[Orçado
Jan]]</f>
        <v>-49.1</v>
      </c>
      <c r="Q57" s="39">
        <f t="shared" si="16"/>
        <v>-0.50102040816326532</v>
      </c>
      <c r="R57" s="28">
        <v>98</v>
      </c>
      <c r="S57" s="28">
        <v>48.89</v>
      </c>
      <c r="T57" s="30">
        <f>Tabela4[[#This Row],[Realizado
Fev]]-Tabela4[[#This Row],[Orçado
Fev]]</f>
        <v>-49.11</v>
      </c>
      <c r="U57" s="39">
        <f t="shared" si="17"/>
        <v>-0.50112244897959179</v>
      </c>
      <c r="V57" s="28">
        <v>102</v>
      </c>
      <c r="W57" s="28">
        <v>48.89</v>
      </c>
      <c r="X57" s="30">
        <f>Tabela4[[#This Row],[Realizado
Mar]]-Tabela4[[#This Row],[Orçado
Mar]]</f>
        <v>-53.11</v>
      </c>
      <c r="Y57" s="39">
        <f t="shared" si="18"/>
        <v>-0.52068627450980387</v>
      </c>
      <c r="Z57" s="28">
        <v>102</v>
      </c>
      <c r="AA57" s="28"/>
      <c r="AB57" s="30">
        <f>Tabela4[[#This Row],[Realizado
Abr]]-Tabela4[[#This Row],[Orçado
Abr]]</f>
        <v>-102</v>
      </c>
      <c r="AC57" s="39">
        <f t="shared" si="19"/>
        <v>-1</v>
      </c>
      <c r="AD57" s="28">
        <v>153</v>
      </c>
      <c r="AE57" s="28">
        <v>0</v>
      </c>
      <c r="AF57" s="30">
        <f>Tabela4[[#This Row],[Realizado
Mai]]-Tabela4[[#This Row],[Orçado
Mai]]</f>
        <v>-153</v>
      </c>
      <c r="AG57" s="38">
        <f t="shared" si="20"/>
        <v>-1</v>
      </c>
      <c r="AH57" s="28">
        <v>153</v>
      </c>
      <c r="AI57" s="28">
        <v>0</v>
      </c>
      <c r="AJ57" s="30">
        <f>Tabela4[[#This Row],[Realizado
Jun]]-Tabela4[[#This Row],[Orçado
Jun]]</f>
        <v>-153</v>
      </c>
      <c r="AK57" s="38">
        <f t="shared" si="21"/>
        <v>-1</v>
      </c>
      <c r="AL57" s="28">
        <v>153</v>
      </c>
      <c r="AM57" s="28">
        <v>0</v>
      </c>
      <c r="AN57" s="30">
        <f>Tabela4[[#This Row],[Realizado
Jul]]-Tabela4[[#This Row],[Orçado
Jul]]</f>
        <v>-153</v>
      </c>
      <c r="AO57" s="38">
        <f t="shared" si="22"/>
        <v>-1</v>
      </c>
      <c r="AP57" s="28">
        <v>153</v>
      </c>
      <c r="AQ57" s="28">
        <v>0</v>
      </c>
      <c r="AR57" s="29">
        <f>Tabela4[[#This Row],[Realizado
Ago]]-Tabela4[[#This Row],[Orçado
Ago]]</f>
        <v>-153</v>
      </c>
      <c r="AS57" s="38">
        <f t="shared" si="23"/>
        <v>-1</v>
      </c>
      <c r="AT57" s="28">
        <v>153</v>
      </c>
      <c r="AU57" s="28">
        <v>0</v>
      </c>
      <c r="AV57" s="29">
        <f>Tabela4[[#This Row],[Realizado
Set]]-Tabela4[[#This Row],[Orçado
Set]]</f>
        <v>-153</v>
      </c>
      <c r="AW57" s="38">
        <f t="shared" si="24"/>
        <v>-1</v>
      </c>
      <c r="AX57" s="28">
        <v>153</v>
      </c>
      <c r="AY57" s="28">
        <v>0</v>
      </c>
      <c r="AZ57" s="29">
        <f>Tabela4[[#This Row],[Realizado
Out]]-Tabela4[[#This Row],[Orçado
Out]]</f>
        <v>-153</v>
      </c>
      <c r="BA57" s="38">
        <f t="shared" si="25"/>
        <v>-1</v>
      </c>
      <c r="BB57" s="28">
        <v>153</v>
      </c>
      <c r="BC57" s="28">
        <v>0</v>
      </c>
      <c r="BD57" s="29">
        <f>Tabela4[[#This Row],[Realizado
Nov]]-Tabela4[[#This Row],[Orçado
Nov]]</f>
        <v>-153</v>
      </c>
      <c r="BE57" s="38">
        <f t="shared" si="26"/>
        <v>-1</v>
      </c>
      <c r="BF57" s="28">
        <v>153</v>
      </c>
      <c r="BG57" s="57">
        <v>0</v>
      </c>
      <c r="BH57" s="29">
        <f>Tabela4[[#This Row],[Realizado
Dez]]-Tabela4[[#This Row],[Orçado
Dez]]</f>
        <v>-153</v>
      </c>
      <c r="BI57" s="38">
        <f t="shared" si="27"/>
        <v>-1</v>
      </c>
      <c r="BJ57" s="29">
        <f t="shared" si="28"/>
        <v>1624</v>
      </c>
      <c r="BK57" s="29">
        <f t="shared" si="29"/>
        <v>146.68</v>
      </c>
      <c r="BL57" s="34">
        <f t="shared" si="30"/>
        <v>-1530.4299999999996</v>
      </c>
      <c r="BM57" s="42">
        <f t="shared" si="31"/>
        <v>-0.90967980295566497</v>
      </c>
      <c r="BN57" s="36">
        <f>Tabela4[[#This Row],[Total Orçado
Ano]]-Tabela4[[#This Row],[Total Realizado
Ano]]</f>
        <v>1477.32</v>
      </c>
      <c r="BO57" s="36">
        <f>Tabela4[[#This Row],[Total Orçado
Ano]]-Tabela4[[#This Row],[Total Realizado
Ano]]</f>
        <v>1477.32</v>
      </c>
    </row>
    <row r="58" spans="1:67" s="23" customFormat="1" ht="12" x14ac:dyDescent="0.2">
      <c r="A58" s="25">
        <v>2026</v>
      </c>
      <c r="B58" s="14" t="s">
        <v>92</v>
      </c>
      <c r="C58" s="14" t="s">
        <v>139</v>
      </c>
      <c r="D58" s="23" t="s">
        <v>93</v>
      </c>
      <c r="E58" s="23" t="s">
        <v>2</v>
      </c>
      <c r="F58" s="23" t="s">
        <v>207</v>
      </c>
      <c r="H58" s="23" t="s">
        <v>100</v>
      </c>
      <c r="J58" s="23" t="s">
        <v>86</v>
      </c>
      <c r="K58" s="23" t="s">
        <v>96</v>
      </c>
      <c r="L58" s="23" t="s">
        <v>88</v>
      </c>
      <c r="N58" s="28">
        <v>3906</v>
      </c>
      <c r="O58" s="28">
        <v>4340.28</v>
      </c>
      <c r="P58" s="30">
        <f>Tabela4[[#This Row],[Realizado
Jan]]-Tabela4[[#This Row],[Orçado
Jan]]</f>
        <v>434.27999999999975</v>
      </c>
      <c r="Q58" s="39">
        <f t="shared" si="16"/>
        <v>0.11118279569892467</v>
      </c>
      <c r="R58" s="28">
        <v>3906</v>
      </c>
      <c r="S58" s="28">
        <v>4100.8900000000003</v>
      </c>
      <c r="T58" s="30">
        <f>Tabela4[[#This Row],[Realizado
Fev]]-Tabela4[[#This Row],[Orçado
Fev]]</f>
        <v>194.89000000000033</v>
      </c>
      <c r="U58" s="39">
        <f t="shared" si="17"/>
        <v>4.9895033282130137E-2</v>
      </c>
      <c r="V58" s="28">
        <v>4076</v>
      </c>
      <c r="W58" s="28">
        <v>4100.8900000000003</v>
      </c>
      <c r="X58" s="30">
        <f>Tabela4[[#This Row],[Realizado
Mar]]-Tabela4[[#This Row],[Orçado
Mar]]</f>
        <v>24.890000000000327</v>
      </c>
      <c r="Y58" s="39">
        <f t="shared" si="18"/>
        <v>6.1064769381747614E-3</v>
      </c>
      <c r="Z58" s="28">
        <v>4076</v>
      </c>
      <c r="AA58" s="28"/>
      <c r="AB58" s="30">
        <f>Tabela4[[#This Row],[Realizado
Abr]]-Tabela4[[#This Row],[Orçado
Abr]]</f>
        <v>-4076</v>
      </c>
      <c r="AC58" s="39">
        <f t="shared" si="19"/>
        <v>-1</v>
      </c>
      <c r="AD58" s="28">
        <v>4280</v>
      </c>
      <c r="AE58" s="28">
        <v>0</v>
      </c>
      <c r="AF58" s="30">
        <f>Tabela4[[#This Row],[Realizado
Mai]]-Tabela4[[#This Row],[Orçado
Mai]]</f>
        <v>-4280</v>
      </c>
      <c r="AG58" s="38">
        <f t="shared" si="20"/>
        <v>-1</v>
      </c>
      <c r="AH58" s="28">
        <v>4280</v>
      </c>
      <c r="AI58" s="28">
        <v>0</v>
      </c>
      <c r="AJ58" s="30">
        <f>Tabela4[[#This Row],[Realizado
Jun]]-Tabela4[[#This Row],[Orçado
Jun]]</f>
        <v>-4280</v>
      </c>
      <c r="AK58" s="38">
        <f t="shared" si="21"/>
        <v>-1</v>
      </c>
      <c r="AL58" s="28">
        <v>4280</v>
      </c>
      <c r="AM58" s="28">
        <v>0</v>
      </c>
      <c r="AN58" s="30">
        <f>Tabela4[[#This Row],[Realizado
Jul]]-Tabela4[[#This Row],[Orçado
Jul]]</f>
        <v>-4280</v>
      </c>
      <c r="AO58" s="38">
        <f t="shared" si="22"/>
        <v>-1</v>
      </c>
      <c r="AP58" s="28">
        <v>4280</v>
      </c>
      <c r="AQ58" s="28"/>
      <c r="AR58" s="29">
        <f>Tabela4[[#This Row],[Realizado
Ago]]-Tabela4[[#This Row],[Orçado
Ago]]</f>
        <v>-4280</v>
      </c>
      <c r="AS58" s="38">
        <f t="shared" si="23"/>
        <v>-1</v>
      </c>
      <c r="AT58" s="28">
        <v>4280</v>
      </c>
      <c r="AU58" s="28">
        <v>0</v>
      </c>
      <c r="AV58" s="29">
        <f>Tabela4[[#This Row],[Realizado
Set]]-Tabela4[[#This Row],[Orçado
Set]]</f>
        <v>-4280</v>
      </c>
      <c r="AW58" s="38">
        <f t="shared" si="24"/>
        <v>-1</v>
      </c>
      <c r="AX58" s="28">
        <v>4280</v>
      </c>
      <c r="AY58" s="28">
        <v>0</v>
      </c>
      <c r="AZ58" s="29">
        <f>Tabela4[[#This Row],[Realizado
Out]]-Tabela4[[#This Row],[Orçado
Out]]</f>
        <v>-4280</v>
      </c>
      <c r="BA58" s="38">
        <f t="shared" si="25"/>
        <v>-1</v>
      </c>
      <c r="BB58" s="28">
        <v>4280</v>
      </c>
      <c r="BC58" s="28">
        <v>0</v>
      </c>
      <c r="BD58" s="29">
        <f>Tabela4[[#This Row],[Realizado
Nov]]-Tabela4[[#This Row],[Orçado
Nov]]</f>
        <v>-4280</v>
      </c>
      <c r="BE58" s="38">
        <f t="shared" si="26"/>
        <v>-1</v>
      </c>
      <c r="BF58" s="28">
        <v>4280</v>
      </c>
      <c r="BG58" s="57">
        <v>0</v>
      </c>
      <c r="BH58" s="29">
        <f>Tabela4[[#This Row],[Realizado
Dez]]-Tabela4[[#This Row],[Orçado
Dez]]</f>
        <v>-4280</v>
      </c>
      <c r="BI58" s="38">
        <f t="shared" si="27"/>
        <v>-1</v>
      </c>
      <c r="BJ58" s="29">
        <f t="shared" si="28"/>
        <v>50204</v>
      </c>
      <c r="BK58" s="29">
        <f t="shared" si="29"/>
        <v>12542.060000000001</v>
      </c>
      <c r="BL58" s="34">
        <f t="shared" si="30"/>
        <v>-37637.050000000003</v>
      </c>
      <c r="BM58" s="42">
        <f t="shared" si="31"/>
        <v>-0.75017807346028209</v>
      </c>
      <c r="BN58" s="36">
        <f>Tabela4[[#This Row],[Total Orçado
Ano]]-Tabela4[[#This Row],[Total Realizado
Ano]]</f>
        <v>37661.94</v>
      </c>
      <c r="BO58" s="36">
        <f>Tabela4[[#This Row],[Total Orçado
Ano]]-Tabela4[[#This Row],[Total Realizado
Ano]]</f>
        <v>37661.94</v>
      </c>
    </row>
    <row r="59" spans="1:67" s="23" customFormat="1" ht="12" x14ac:dyDescent="0.2">
      <c r="A59" s="25">
        <v>2026</v>
      </c>
      <c r="B59" s="14" t="s">
        <v>92</v>
      </c>
      <c r="C59" s="14" t="s">
        <v>139</v>
      </c>
      <c r="D59" s="23" t="s">
        <v>93</v>
      </c>
      <c r="E59" s="23" t="s">
        <v>2</v>
      </c>
      <c r="F59" s="23" t="s">
        <v>210</v>
      </c>
      <c r="H59" s="23" t="s">
        <v>100</v>
      </c>
      <c r="J59" s="23" t="s">
        <v>86</v>
      </c>
      <c r="K59" s="23" t="s">
        <v>96</v>
      </c>
      <c r="L59" s="23" t="s">
        <v>88</v>
      </c>
      <c r="N59" s="28">
        <v>5859</v>
      </c>
      <c r="O59" s="28">
        <v>10753.2</v>
      </c>
      <c r="P59" s="30">
        <f>Tabela4[[#This Row],[Realizado
Jan]]-Tabela4[[#This Row],[Orçado
Jan]]</f>
        <v>4894.2000000000007</v>
      </c>
      <c r="Q59" s="39">
        <f t="shared" si="16"/>
        <v>0.83533026113671283</v>
      </c>
      <c r="R59" s="28">
        <v>5859</v>
      </c>
      <c r="S59" s="28">
        <v>9226.98</v>
      </c>
      <c r="T59" s="30">
        <f>Tabela4[[#This Row],[Realizado
Fev]]-Tabela4[[#This Row],[Orçado
Fev]]</f>
        <v>3367.9799999999996</v>
      </c>
      <c r="U59" s="39">
        <f t="shared" si="17"/>
        <v>0.57483870967741924</v>
      </c>
      <c r="V59" s="28">
        <v>6115</v>
      </c>
      <c r="W59" s="28">
        <v>9226.98</v>
      </c>
      <c r="X59" s="30">
        <f>Tabela4[[#This Row],[Realizado
Mar]]-Tabela4[[#This Row],[Orçado
Mar]]</f>
        <v>3111.9799999999996</v>
      </c>
      <c r="Y59" s="39">
        <f t="shared" si="18"/>
        <v>0.50890923957481593</v>
      </c>
      <c r="Z59" s="28">
        <v>6115</v>
      </c>
      <c r="AA59" s="28"/>
      <c r="AB59" s="30">
        <f>Tabela4[[#This Row],[Realizado
Abr]]-Tabela4[[#This Row],[Orçado
Abr]]</f>
        <v>-6115</v>
      </c>
      <c r="AC59" s="39">
        <f t="shared" si="19"/>
        <v>-1</v>
      </c>
      <c r="AD59" s="28">
        <v>6421</v>
      </c>
      <c r="AE59" s="28">
        <v>0</v>
      </c>
      <c r="AF59" s="30">
        <f>Tabela4[[#This Row],[Realizado
Mai]]-Tabela4[[#This Row],[Orçado
Mai]]</f>
        <v>-6421</v>
      </c>
      <c r="AG59" s="38">
        <f t="shared" si="20"/>
        <v>-1</v>
      </c>
      <c r="AH59" s="28">
        <v>6421</v>
      </c>
      <c r="AI59" s="28">
        <v>0</v>
      </c>
      <c r="AJ59" s="30">
        <f>Tabela4[[#This Row],[Realizado
Jun]]-Tabela4[[#This Row],[Orçado
Jun]]</f>
        <v>-6421</v>
      </c>
      <c r="AK59" s="38">
        <f t="shared" si="21"/>
        <v>-1</v>
      </c>
      <c r="AL59" s="28">
        <v>6421</v>
      </c>
      <c r="AM59" s="28">
        <v>0</v>
      </c>
      <c r="AN59" s="30">
        <f>Tabela4[[#This Row],[Realizado
Jul]]-Tabela4[[#This Row],[Orçado
Jul]]</f>
        <v>-6421</v>
      </c>
      <c r="AO59" s="38">
        <f t="shared" si="22"/>
        <v>-1</v>
      </c>
      <c r="AP59" s="28">
        <v>6421</v>
      </c>
      <c r="AQ59" s="28"/>
      <c r="AR59" s="29">
        <f>Tabela4[[#This Row],[Realizado
Ago]]-Tabela4[[#This Row],[Orçado
Ago]]</f>
        <v>-6421</v>
      </c>
      <c r="AS59" s="38">
        <f t="shared" si="23"/>
        <v>-1</v>
      </c>
      <c r="AT59" s="28">
        <v>6421</v>
      </c>
      <c r="AU59" s="28">
        <v>0</v>
      </c>
      <c r="AV59" s="29">
        <f>Tabela4[[#This Row],[Realizado
Set]]-Tabela4[[#This Row],[Orçado
Set]]</f>
        <v>-6421</v>
      </c>
      <c r="AW59" s="38">
        <f t="shared" si="24"/>
        <v>-1</v>
      </c>
      <c r="AX59" s="28">
        <v>6421</v>
      </c>
      <c r="AY59" s="28">
        <v>0</v>
      </c>
      <c r="AZ59" s="29">
        <f>Tabela4[[#This Row],[Realizado
Out]]-Tabela4[[#This Row],[Orçado
Out]]</f>
        <v>-6421</v>
      </c>
      <c r="BA59" s="38">
        <f t="shared" si="25"/>
        <v>-1</v>
      </c>
      <c r="BB59" s="28">
        <v>6421</v>
      </c>
      <c r="BC59" s="28">
        <v>0</v>
      </c>
      <c r="BD59" s="29">
        <f>Tabela4[[#This Row],[Realizado
Nov]]-Tabela4[[#This Row],[Orçado
Nov]]</f>
        <v>-6421</v>
      </c>
      <c r="BE59" s="38">
        <f t="shared" si="26"/>
        <v>-1</v>
      </c>
      <c r="BF59" s="28">
        <v>6421</v>
      </c>
      <c r="BG59" s="57">
        <v>0</v>
      </c>
      <c r="BH59" s="29">
        <f>Tabela4[[#This Row],[Realizado
Dez]]-Tabela4[[#This Row],[Orçado
Dez]]</f>
        <v>-6421</v>
      </c>
      <c r="BI59" s="38">
        <f t="shared" si="27"/>
        <v>-1</v>
      </c>
      <c r="BJ59" s="29">
        <f t="shared" si="28"/>
        <v>75316</v>
      </c>
      <c r="BK59" s="29">
        <f t="shared" si="29"/>
        <v>29207.16</v>
      </c>
      <c r="BL59" s="34">
        <f t="shared" si="30"/>
        <v>-42996.860000000015</v>
      </c>
      <c r="BM59" s="42">
        <f t="shared" si="31"/>
        <v>-0.61220510914015613</v>
      </c>
      <c r="BN59" s="36">
        <f>Tabela4[[#This Row],[Total Orçado
Ano]]-Tabela4[[#This Row],[Total Realizado
Ano]]</f>
        <v>46108.84</v>
      </c>
      <c r="BO59" s="36">
        <f>Tabela4[[#This Row],[Total Orçado
Ano]]-Tabela4[[#This Row],[Total Realizado
Ano]]</f>
        <v>46108.84</v>
      </c>
    </row>
    <row r="60" spans="1:67" s="23" customFormat="1" ht="12" x14ac:dyDescent="0.2">
      <c r="A60" s="25">
        <v>2026</v>
      </c>
      <c r="B60" s="14" t="s">
        <v>92</v>
      </c>
      <c r="C60" s="14" t="s">
        <v>139</v>
      </c>
      <c r="D60" s="23" t="s">
        <v>93</v>
      </c>
      <c r="E60" s="23" t="s">
        <v>2</v>
      </c>
      <c r="F60" s="23" t="s">
        <v>211</v>
      </c>
      <c r="H60" s="23" t="s">
        <v>100</v>
      </c>
      <c r="J60" s="23" t="s">
        <v>86</v>
      </c>
      <c r="K60" s="23" t="s">
        <v>96</v>
      </c>
      <c r="L60" s="23" t="s">
        <v>88</v>
      </c>
      <c r="M60" s="23" t="s">
        <v>249</v>
      </c>
      <c r="N60" s="28">
        <v>0</v>
      </c>
      <c r="O60" s="28">
        <v>221.79</v>
      </c>
      <c r="P60" s="30">
        <f>Tabela4[[#This Row],[Realizado
Jan]]-Tabela4[[#This Row],[Orçado
Jan]]</f>
        <v>221.79</v>
      </c>
      <c r="Q60" s="39" t="str">
        <f t="shared" si="16"/>
        <v>-</v>
      </c>
      <c r="R60" s="28">
        <v>0</v>
      </c>
      <c r="S60" s="28">
        <v>221.79</v>
      </c>
      <c r="T60" s="30">
        <f>Tabela4[[#This Row],[Realizado
Fev]]-Tabela4[[#This Row],[Orçado
Fev]]</f>
        <v>221.79</v>
      </c>
      <c r="U60" s="39" t="str">
        <f t="shared" si="17"/>
        <v>-</v>
      </c>
      <c r="V60" s="28">
        <v>0</v>
      </c>
      <c r="W60" s="28">
        <v>221.76</v>
      </c>
      <c r="X60" s="30">
        <f>Tabela4[[#This Row],[Realizado
Mar]]-Tabela4[[#This Row],[Orçado
Mar]]</f>
        <v>221.76</v>
      </c>
      <c r="Y60" s="39" t="str">
        <f t="shared" si="18"/>
        <v>-</v>
      </c>
      <c r="Z60" s="28">
        <v>0</v>
      </c>
      <c r="AA60" s="28">
        <v>0</v>
      </c>
      <c r="AB60" s="30">
        <f>Tabela4[[#This Row],[Realizado
Abr]]-Tabela4[[#This Row],[Orçado
Abr]]</f>
        <v>0</v>
      </c>
      <c r="AC60" s="39" t="str">
        <f t="shared" si="19"/>
        <v>-</v>
      </c>
      <c r="AD60" s="28">
        <v>0</v>
      </c>
      <c r="AE60" s="28">
        <v>0</v>
      </c>
      <c r="AF60" s="30">
        <f>Tabela4[[#This Row],[Realizado
Mai]]-Tabela4[[#This Row],[Orçado
Mai]]</f>
        <v>0</v>
      </c>
      <c r="AG60" s="38" t="str">
        <f t="shared" si="20"/>
        <v>-</v>
      </c>
      <c r="AH60" s="28">
        <v>0</v>
      </c>
      <c r="AI60" s="28">
        <v>0</v>
      </c>
      <c r="AJ60" s="30">
        <f>Tabela4[[#This Row],[Realizado
Jun]]-Tabela4[[#This Row],[Orçado
Jun]]</f>
        <v>0</v>
      </c>
      <c r="AK60" s="38" t="str">
        <f t="shared" si="21"/>
        <v>-</v>
      </c>
      <c r="AL60" s="28">
        <v>0</v>
      </c>
      <c r="AM60" s="28">
        <v>0</v>
      </c>
      <c r="AN60" s="30">
        <f>Tabela4[[#This Row],[Realizado
Jul]]-Tabela4[[#This Row],[Orçado
Jul]]</f>
        <v>0</v>
      </c>
      <c r="AO60" s="38" t="str">
        <f t="shared" si="22"/>
        <v>-</v>
      </c>
      <c r="AP60" s="28">
        <v>0</v>
      </c>
      <c r="AQ60" s="28">
        <v>0</v>
      </c>
      <c r="AR60" s="29">
        <f>Tabela4[[#This Row],[Realizado
Ago]]-Tabela4[[#This Row],[Orçado
Ago]]</f>
        <v>0</v>
      </c>
      <c r="AS60" s="38" t="str">
        <f t="shared" si="23"/>
        <v>-</v>
      </c>
      <c r="AT60" s="28">
        <v>0</v>
      </c>
      <c r="AU60" s="28">
        <v>0</v>
      </c>
      <c r="AV60" s="29">
        <f>Tabela4[[#This Row],[Realizado
Set]]-Tabela4[[#This Row],[Orçado
Set]]</f>
        <v>0</v>
      </c>
      <c r="AW60" s="38" t="str">
        <f t="shared" si="24"/>
        <v>-</v>
      </c>
      <c r="AX60" s="28">
        <v>0</v>
      </c>
      <c r="AY60" s="28">
        <v>0</v>
      </c>
      <c r="AZ60" s="29">
        <f>Tabela4[[#This Row],[Realizado
Out]]-Tabela4[[#This Row],[Orçado
Out]]</f>
        <v>0</v>
      </c>
      <c r="BA60" s="38" t="str">
        <f t="shared" si="25"/>
        <v>-</v>
      </c>
      <c r="BB60" s="28">
        <v>0</v>
      </c>
      <c r="BC60" s="28">
        <v>0</v>
      </c>
      <c r="BD60" s="29">
        <f>Tabela4[[#This Row],[Realizado
Nov]]-Tabela4[[#This Row],[Orçado
Nov]]</f>
        <v>0</v>
      </c>
      <c r="BE60" s="38" t="str">
        <f t="shared" si="26"/>
        <v>-</v>
      </c>
      <c r="BF60" s="28">
        <v>0</v>
      </c>
      <c r="BG60" s="57">
        <v>0</v>
      </c>
      <c r="BH60" s="29">
        <f>Tabela4[[#This Row],[Realizado
Dez]]-Tabela4[[#This Row],[Orçado
Dez]]</f>
        <v>0</v>
      </c>
      <c r="BI60" s="38" t="str">
        <f t="shared" si="27"/>
        <v>-</v>
      </c>
      <c r="BJ60" s="29">
        <f t="shared" si="28"/>
        <v>0</v>
      </c>
      <c r="BK60" s="29">
        <f t="shared" si="29"/>
        <v>665.33999999999992</v>
      </c>
      <c r="BL60" s="34">
        <f t="shared" si="30"/>
        <v>887.09999999999991</v>
      </c>
      <c r="BM60" s="42" t="str">
        <f t="shared" si="31"/>
        <v>-</v>
      </c>
      <c r="BN60" s="36">
        <f>Tabela4[[#This Row],[Total Orçado
Ano]]-Tabela4[[#This Row],[Total Realizado
Ano]]</f>
        <v>-665.33999999999992</v>
      </c>
      <c r="BO60" s="36">
        <f>Tabela4[[#This Row],[Total Orçado
Ano]]-Tabela4[[#This Row],[Total Realizado
Ano]]</f>
        <v>-665.33999999999992</v>
      </c>
    </row>
    <row r="61" spans="1:67" s="23" customFormat="1" ht="12" x14ac:dyDescent="0.2">
      <c r="A61" s="25">
        <v>2026</v>
      </c>
      <c r="B61" s="14" t="s">
        <v>92</v>
      </c>
      <c r="C61" s="14" t="s">
        <v>139</v>
      </c>
      <c r="D61" s="23" t="s">
        <v>93</v>
      </c>
      <c r="E61" s="23" t="s">
        <v>2</v>
      </c>
      <c r="F61" s="23" t="s">
        <v>212</v>
      </c>
      <c r="H61" s="23" t="s">
        <v>100</v>
      </c>
      <c r="J61" s="23" t="s">
        <v>86</v>
      </c>
      <c r="K61" s="23" t="s">
        <v>96</v>
      </c>
      <c r="L61" s="23" t="s">
        <v>88</v>
      </c>
      <c r="M61" s="23" t="s">
        <v>249</v>
      </c>
      <c r="N61" s="28">
        <v>0</v>
      </c>
      <c r="O61" s="28">
        <v>4832.3900000000003</v>
      </c>
      <c r="P61" s="30">
        <f>Tabela4[[#This Row],[Realizado
Jan]]-Tabela4[[#This Row],[Orçado
Jan]]</f>
        <v>4832.3900000000003</v>
      </c>
      <c r="Q61" s="39" t="str">
        <f t="shared" si="16"/>
        <v>-</v>
      </c>
      <c r="R61" s="28">
        <v>0</v>
      </c>
      <c r="S61" s="28">
        <v>4579.32</v>
      </c>
      <c r="T61" s="30">
        <f>Tabela4[[#This Row],[Realizado
Fev]]-Tabela4[[#This Row],[Orçado
Fev]]</f>
        <v>4579.32</v>
      </c>
      <c r="U61" s="39" t="str">
        <f t="shared" si="17"/>
        <v>-</v>
      </c>
      <c r="V61" s="28">
        <v>0</v>
      </c>
      <c r="W61" s="28">
        <v>4579.32</v>
      </c>
      <c r="X61" s="30">
        <f>Tabela4[[#This Row],[Realizado
Mar]]-Tabela4[[#This Row],[Orçado
Mar]]</f>
        <v>4579.32</v>
      </c>
      <c r="Y61" s="39" t="str">
        <f t="shared" si="18"/>
        <v>-</v>
      </c>
      <c r="Z61" s="28">
        <v>0</v>
      </c>
      <c r="AA61" s="28">
        <v>0</v>
      </c>
      <c r="AB61" s="30">
        <f>Tabela4[[#This Row],[Realizado
Abr]]-Tabela4[[#This Row],[Orçado
Abr]]</f>
        <v>0</v>
      </c>
      <c r="AC61" s="39" t="str">
        <f t="shared" si="19"/>
        <v>-</v>
      </c>
      <c r="AD61" s="28">
        <v>0</v>
      </c>
      <c r="AE61" s="28">
        <v>0</v>
      </c>
      <c r="AF61" s="30">
        <f>Tabela4[[#This Row],[Realizado
Mai]]-Tabela4[[#This Row],[Orçado
Mai]]</f>
        <v>0</v>
      </c>
      <c r="AG61" s="38" t="str">
        <f t="shared" si="20"/>
        <v>-</v>
      </c>
      <c r="AH61" s="28">
        <v>0</v>
      </c>
      <c r="AI61" s="28">
        <v>0</v>
      </c>
      <c r="AJ61" s="30">
        <f>Tabela4[[#This Row],[Realizado
Jun]]-Tabela4[[#This Row],[Orçado
Jun]]</f>
        <v>0</v>
      </c>
      <c r="AK61" s="38" t="str">
        <f t="shared" si="21"/>
        <v>-</v>
      </c>
      <c r="AL61" s="28">
        <v>0</v>
      </c>
      <c r="AM61" s="28">
        <v>0</v>
      </c>
      <c r="AN61" s="30">
        <f>Tabela4[[#This Row],[Realizado
Jul]]-Tabela4[[#This Row],[Orçado
Jul]]</f>
        <v>0</v>
      </c>
      <c r="AO61" s="38" t="str">
        <f t="shared" si="22"/>
        <v>-</v>
      </c>
      <c r="AP61" s="28">
        <v>0</v>
      </c>
      <c r="AQ61" s="28">
        <v>0</v>
      </c>
      <c r="AR61" s="29">
        <f>Tabela4[[#This Row],[Realizado
Ago]]-Tabela4[[#This Row],[Orçado
Ago]]</f>
        <v>0</v>
      </c>
      <c r="AS61" s="38" t="str">
        <f t="shared" si="23"/>
        <v>-</v>
      </c>
      <c r="AT61" s="28">
        <v>0</v>
      </c>
      <c r="AU61" s="28">
        <v>0</v>
      </c>
      <c r="AV61" s="29">
        <f>Tabela4[[#This Row],[Realizado
Set]]-Tabela4[[#This Row],[Orçado
Set]]</f>
        <v>0</v>
      </c>
      <c r="AW61" s="38" t="str">
        <f t="shared" si="24"/>
        <v>-</v>
      </c>
      <c r="AX61" s="28">
        <v>0</v>
      </c>
      <c r="AY61" s="28">
        <v>0</v>
      </c>
      <c r="AZ61" s="29">
        <f>Tabela4[[#This Row],[Realizado
Out]]-Tabela4[[#This Row],[Orçado
Out]]</f>
        <v>0</v>
      </c>
      <c r="BA61" s="38" t="str">
        <f t="shared" si="25"/>
        <v>-</v>
      </c>
      <c r="BB61" s="28">
        <v>0</v>
      </c>
      <c r="BC61" s="28">
        <v>0</v>
      </c>
      <c r="BD61" s="29">
        <f>Tabela4[[#This Row],[Realizado
Nov]]-Tabela4[[#This Row],[Orçado
Nov]]</f>
        <v>0</v>
      </c>
      <c r="BE61" s="38" t="str">
        <f t="shared" si="26"/>
        <v>-</v>
      </c>
      <c r="BF61" s="28">
        <v>0</v>
      </c>
      <c r="BG61" s="57">
        <v>0</v>
      </c>
      <c r="BH61" s="29">
        <f>Tabela4[[#This Row],[Realizado
Dez]]-Tabela4[[#This Row],[Orçado
Dez]]</f>
        <v>0</v>
      </c>
      <c r="BI61" s="38" t="str">
        <f t="shared" si="27"/>
        <v>-</v>
      </c>
      <c r="BJ61" s="29">
        <f t="shared" si="28"/>
        <v>0</v>
      </c>
      <c r="BK61" s="29">
        <f t="shared" si="29"/>
        <v>13991.029999999999</v>
      </c>
      <c r="BL61" s="34">
        <f t="shared" si="30"/>
        <v>18570.349999999999</v>
      </c>
      <c r="BM61" s="42" t="str">
        <f t="shared" si="31"/>
        <v>-</v>
      </c>
      <c r="BN61" s="36">
        <f>Tabela4[[#This Row],[Total Orçado
Ano]]-Tabela4[[#This Row],[Total Realizado
Ano]]</f>
        <v>-13991.029999999999</v>
      </c>
      <c r="BO61" s="36">
        <f>Tabela4[[#This Row],[Total Orçado
Ano]]-Tabela4[[#This Row],[Total Realizado
Ano]]</f>
        <v>-13991.029999999999</v>
      </c>
    </row>
    <row r="62" spans="1:67" s="23" customFormat="1" ht="12" x14ac:dyDescent="0.2">
      <c r="A62" s="25">
        <v>2026</v>
      </c>
      <c r="B62" s="14" t="s">
        <v>92</v>
      </c>
      <c r="C62" s="14" t="s">
        <v>139</v>
      </c>
      <c r="D62" s="23" t="s">
        <v>93</v>
      </c>
      <c r="E62" s="23" t="s">
        <v>2</v>
      </c>
      <c r="F62" s="23" t="s">
        <v>213</v>
      </c>
      <c r="H62" s="23" t="s">
        <v>100</v>
      </c>
      <c r="J62" s="23" t="s">
        <v>86</v>
      </c>
      <c r="K62" s="23" t="s">
        <v>96</v>
      </c>
      <c r="L62" s="23" t="s">
        <v>88</v>
      </c>
      <c r="N62" s="28">
        <v>39029</v>
      </c>
      <c r="O62" s="28">
        <v>37170</v>
      </c>
      <c r="P62" s="30">
        <f>Tabela4[[#This Row],[Realizado
Jan]]-Tabela4[[#This Row],[Orçado
Jan]]</f>
        <v>-1859</v>
      </c>
      <c r="Q62" s="39">
        <f t="shared" si="16"/>
        <v>-4.7631248558763994E-2</v>
      </c>
      <c r="R62" s="28">
        <v>39029</v>
      </c>
      <c r="S62" s="28">
        <v>37170</v>
      </c>
      <c r="T62" s="30">
        <f>Tabela4[[#This Row],[Realizado
Fev]]-Tabela4[[#This Row],[Orçado
Fev]]</f>
        <v>-1859</v>
      </c>
      <c r="U62" s="39">
        <f t="shared" si="17"/>
        <v>-4.7631248558763994E-2</v>
      </c>
      <c r="V62" s="28">
        <v>40734</v>
      </c>
      <c r="W62" s="28">
        <v>37170</v>
      </c>
      <c r="X62" s="30">
        <f>Tabela4[[#This Row],[Realizado
Mar]]-Tabela4[[#This Row],[Orçado
Mar]]</f>
        <v>-3564</v>
      </c>
      <c r="Y62" s="39">
        <f t="shared" si="18"/>
        <v>-8.7494476358815729E-2</v>
      </c>
      <c r="Z62" s="28">
        <v>40734</v>
      </c>
      <c r="AA62" s="28"/>
      <c r="AB62" s="30">
        <f>Tabela4[[#This Row],[Realizado
Abr]]-Tabela4[[#This Row],[Orçado
Abr]]</f>
        <v>-40734</v>
      </c>
      <c r="AC62" s="39">
        <f t="shared" si="19"/>
        <v>-1</v>
      </c>
      <c r="AD62" s="28">
        <v>42803</v>
      </c>
      <c r="AE62" s="28">
        <v>0</v>
      </c>
      <c r="AF62" s="30">
        <f>Tabela4[[#This Row],[Realizado
Mai]]-Tabela4[[#This Row],[Orçado
Mai]]</f>
        <v>-42803</v>
      </c>
      <c r="AG62" s="38">
        <f t="shared" si="20"/>
        <v>-1</v>
      </c>
      <c r="AH62" s="28">
        <v>42803</v>
      </c>
      <c r="AI62" s="28">
        <v>0</v>
      </c>
      <c r="AJ62" s="30">
        <f>Tabela4[[#This Row],[Realizado
Jun]]-Tabela4[[#This Row],[Orçado
Jun]]</f>
        <v>-42803</v>
      </c>
      <c r="AK62" s="38">
        <f t="shared" si="21"/>
        <v>-1</v>
      </c>
      <c r="AL62" s="28">
        <v>42803</v>
      </c>
      <c r="AM62" s="28">
        <v>0</v>
      </c>
      <c r="AN62" s="30">
        <f>Tabela4[[#This Row],[Realizado
Jul]]-Tabela4[[#This Row],[Orçado
Jul]]</f>
        <v>-42803</v>
      </c>
      <c r="AO62" s="38">
        <f t="shared" si="22"/>
        <v>-1</v>
      </c>
      <c r="AP62" s="28">
        <v>42803</v>
      </c>
      <c r="AQ62" s="28"/>
      <c r="AR62" s="29">
        <f>Tabela4[[#This Row],[Realizado
Ago]]-Tabela4[[#This Row],[Orçado
Ago]]</f>
        <v>-42803</v>
      </c>
      <c r="AS62" s="38">
        <f t="shared" si="23"/>
        <v>-1</v>
      </c>
      <c r="AT62" s="28">
        <v>42803</v>
      </c>
      <c r="AU62" s="28">
        <v>0</v>
      </c>
      <c r="AV62" s="29">
        <f>Tabela4[[#This Row],[Realizado
Set]]-Tabela4[[#This Row],[Orçado
Set]]</f>
        <v>-42803</v>
      </c>
      <c r="AW62" s="38">
        <f t="shared" si="24"/>
        <v>-1</v>
      </c>
      <c r="AX62" s="28">
        <v>42803</v>
      </c>
      <c r="AY62" s="28">
        <v>0</v>
      </c>
      <c r="AZ62" s="29">
        <f>Tabela4[[#This Row],[Realizado
Out]]-Tabela4[[#This Row],[Orçado
Out]]</f>
        <v>-42803</v>
      </c>
      <c r="BA62" s="38">
        <f t="shared" si="25"/>
        <v>-1</v>
      </c>
      <c r="BB62" s="28">
        <v>42803</v>
      </c>
      <c r="BC62" s="28">
        <v>0</v>
      </c>
      <c r="BD62" s="29">
        <f>Tabela4[[#This Row],[Realizado
Nov]]-Tabela4[[#This Row],[Orçado
Nov]]</f>
        <v>-42803</v>
      </c>
      <c r="BE62" s="38">
        <f t="shared" si="26"/>
        <v>-1</v>
      </c>
      <c r="BF62" s="28">
        <v>42803</v>
      </c>
      <c r="BG62" s="57">
        <v>0</v>
      </c>
      <c r="BH62" s="29">
        <f>Tabela4[[#This Row],[Realizado
Dez]]-Tabela4[[#This Row],[Orçado
Dez]]</f>
        <v>-42803</v>
      </c>
      <c r="BI62" s="38">
        <f t="shared" si="27"/>
        <v>-1</v>
      </c>
      <c r="BJ62" s="29">
        <f t="shared" si="28"/>
        <v>501950</v>
      </c>
      <c r="BK62" s="29">
        <f t="shared" si="29"/>
        <v>111510</v>
      </c>
      <c r="BL62" s="34">
        <f t="shared" si="30"/>
        <v>-394004</v>
      </c>
      <c r="BM62" s="42">
        <f t="shared" si="31"/>
        <v>-0.77784639904372943</v>
      </c>
      <c r="BN62" s="36">
        <f>Tabela4[[#This Row],[Total Orçado
Ano]]-Tabela4[[#This Row],[Total Realizado
Ano]]</f>
        <v>390440</v>
      </c>
      <c r="BO62" s="36">
        <f>Tabela4[[#This Row],[Total Orçado
Ano]]-Tabela4[[#This Row],[Total Realizado
Ano]]</f>
        <v>390440</v>
      </c>
    </row>
    <row r="63" spans="1:67" s="23" customFormat="1" ht="12" x14ac:dyDescent="0.2">
      <c r="A63" s="25">
        <v>2026</v>
      </c>
      <c r="B63" s="14" t="s">
        <v>92</v>
      </c>
      <c r="C63" s="14" t="s">
        <v>139</v>
      </c>
      <c r="D63" s="23" t="s">
        <v>93</v>
      </c>
      <c r="E63" s="23" t="s">
        <v>2</v>
      </c>
      <c r="F63" s="23" t="s">
        <v>214</v>
      </c>
      <c r="H63" s="23" t="s">
        <v>100</v>
      </c>
      <c r="J63" s="23" t="s">
        <v>86</v>
      </c>
      <c r="K63" s="23" t="s">
        <v>96</v>
      </c>
      <c r="L63" s="23" t="s">
        <v>88</v>
      </c>
      <c r="N63" s="28">
        <v>0</v>
      </c>
      <c r="O63" s="28">
        <v>0</v>
      </c>
      <c r="P63" s="30">
        <f>Tabela4[[#This Row],[Realizado
Jan]]-Tabela4[[#This Row],[Orçado
Jan]]</f>
        <v>0</v>
      </c>
      <c r="Q63" s="39" t="str">
        <f t="shared" si="16"/>
        <v>-</v>
      </c>
      <c r="R63" s="28">
        <v>0</v>
      </c>
      <c r="S63" s="28">
        <v>0</v>
      </c>
      <c r="T63" s="30">
        <f>Tabela4[[#This Row],[Realizado
Fev]]-Tabela4[[#This Row],[Orçado
Fev]]</f>
        <v>0</v>
      </c>
      <c r="U63" s="39" t="str">
        <f t="shared" si="17"/>
        <v>-</v>
      </c>
      <c r="V63" s="28">
        <v>0</v>
      </c>
      <c r="W63" s="28">
        <v>0</v>
      </c>
      <c r="X63" s="30">
        <f>Tabela4[[#This Row],[Realizado
Mar]]-Tabela4[[#This Row],[Orçado
Mar]]</f>
        <v>0</v>
      </c>
      <c r="Y63" s="39" t="str">
        <f t="shared" si="18"/>
        <v>-</v>
      </c>
      <c r="Z63" s="28">
        <v>0</v>
      </c>
      <c r="AA63" s="28"/>
      <c r="AB63" s="30">
        <f>Tabela4[[#This Row],[Realizado
Abr]]-Tabela4[[#This Row],[Orçado
Abr]]</f>
        <v>0</v>
      </c>
      <c r="AC63" s="39" t="str">
        <f t="shared" si="19"/>
        <v>-</v>
      </c>
      <c r="AD63" s="28">
        <v>0</v>
      </c>
      <c r="AE63" s="28">
        <v>0</v>
      </c>
      <c r="AF63" s="30">
        <f>Tabela4[[#This Row],[Realizado
Mai]]-Tabela4[[#This Row],[Orçado
Mai]]</f>
        <v>0</v>
      </c>
      <c r="AG63" s="38" t="str">
        <f t="shared" si="20"/>
        <v>-</v>
      </c>
      <c r="AH63" s="28">
        <v>0</v>
      </c>
      <c r="AI63" s="28">
        <v>0</v>
      </c>
      <c r="AJ63" s="30">
        <f>Tabela4[[#This Row],[Realizado
Jun]]-Tabela4[[#This Row],[Orçado
Jun]]</f>
        <v>0</v>
      </c>
      <c r="AK63" s="38" t="str">
        <f t="shared" si="21"/>
        <v>-</v>
      </c>
      <c r="AL63" s="28">
        <v>0</v>
      </c>
      <c r="AM63" s="28">
        <v>0</v>
      </c>
      <c r="AN63" s="30">
        <f>Tabela4[[#This Row],[Realizado
Jul]]-Tabela4[[#This Row],[Orçado
Jul]]</f>
        <v>0</v>
      </c>
      <c r="AO63" s="38" t="str">
        <f t="shared" si="22"/>
        <v>-</v>
      </c>
      <c r="AP63" s="28">
        <v>0</v>
      </c>
      <c r="AQ63" s="28"/>
      <c r="AR63" s="29">
        <f>Tabela4[[#This Row],[Realizado
Ago]]-Tabela4[[#This Row],[Orçado
Ago]]</f>
        <v>0</v>
      </c>
      <c r="AS63" s="38" t="str">
        <f t="shared" si="23"/>
        <v>-</v>
      </c>
      <c r="AT63" s="28">
        <v>0</v>
      </c>
      <c r="AU63" s="28">
        <v>0</v>
      </c>
      <c r="AV63" s="29">
        <f>Tabela4[[#This Row],[Realizado
Set]]-Tabela4[[#This Row],[Orçado
Set]]</f>
        <v>0</v>
      </c>
      <c r="AW63" s="38" t="str">
        <f t="shared" si="24"/>
        <v>-</v>
      </c>
      <c r="AX63" s="28">
        <v>0</v>
      </c>
      <c r="AY63" s="28">
        <v>0</v>
      </c>
      <c r="AZ63" s="29">
        <f>Tabela4[[#This Row],[Realizado
Out]]-Tabela4[[#This Row],[Orçado
Out]]</f>
        <v>0</v>
      </c>
      <c r="BA63" s="38" t="str">
        <f t="shared" si="25"/>
        <v>-</v>
      </c>
      <c r="BB63" s="28">
        <v>0</v>
      </c>
      <c r="BC63" s="28">
        <v>0</v>
      </c>
      <c r="BD63" s="29">
        <f>Tabela4[[#This Row],[Realizado
Nov]]-Tabela4[[#This Row],[Orçado
Nov]]</f>
        <v>0</v>
      </c>
      <c r="BE63" s="38" t="str">
        <f t="shared" si="26"/>
        <v>-</v>
      </c>
      <c r="BF63" s="28">
        <v>0</v>
      </c>
      <c r="BG63" s="57">
        <v>0</v>
      </c>
      <c r="BH63" s="29">
        <f>Tabela4[[#This Row],[Realizado
Dez]]-Tabela4[[#This Row],[Orçado
Dez]]</f>
        <v>0</v>
      </c>
      <c r="BI63" s="38" t="str">
        <f t="shared" si="27"/>
        <v>-</v>
      </c>
      <c r="BJ63" s="29">
        <f t="shared" si="28"/>
        <v>0</v>
      </c>
      <c r="BK63" s="29">
        <f t="shared" si="29"/>
        <v>0</v>
      </c>
      <c r="BL63" s="34">
        <f t="shared" si="30"/>
        <v>0</v>
      </c>
      <c r="BM63" s="42" t="str">
        <f t="shared" si="31"/>
        <v>-</v>
      </c>
      <c r="BN63" s="36">
        <f>Tabela4[[#This Row],[Total Orçado
Ano]]-Tabela4[[#This Row],[Total Realizado
Ano]]</f>
        <v>0</v>
      </c>
      <c r="BO63" s="36">
        <f>Tabela4[[#This Row],[Total Orçado
Ano]]-Tabela4[[#This Row],[Total Realizado
Ano]]</f>
        <v>0</v>
      </c>
    </row>
    <row r="64" spans="1:67" s="23" customFormat="1" ht="12" x14ac:dyDescent="0.2">
      <c r="A64" s="25">
        <v>2026</v>
      </c>
      <c r="B64" s="14" t="s">
        <v>92</v>
      </c>
      <c r="C64" s="14" t="s">
        <v>139</v>
      </c>
      <c r="D64" s="23" t="s">
        <v>93</v>
      </c>
      <c r="E64" s="23" t="s">
        <v>2</v>
      </c>
      <c r="F64" s="23" t="s">
        <v>215</v>
      </c>
      <c r="H64" s="23" t="s">
        <v>100</v>
      </c>
      <c r="J64" s="23" t="s">
        <v>86</v>
      </c>
      <c r="K64" s="23" t="s">
        <v>96</v>
      </c>
      <c r="L64" s="23" t="s">
        <v>88</v>
      </c>
      <c r="N64" s="28">
        <v>0</v>
      </c>
      <c r="O64" s="28">
        <v>3867.85</v>
      </c>
      <c r="P64" s="30">
        <f>Tabela4[[#This Row],[Realizado
Jan]]-Tabela4[[#This Row],[Orçado
Jan]]</f>
        <v>3867.85</v>
      </c>
      <c r="Q64" s="39" t="str">
        <f t="shared" si="16"/>
        <v>-</v>
      </c>
      <c r="R64" s="28">
        <v>0</v>
      </c>
      <c r="S64" s="28">
        <v>3809.7</v>
      </c>
      <c r="T64" s="30">
        <f>Tabela4[[#This Row],[Realizado
Fev]]-Tabela4[[#This Row],[Orçado
Fev]]</f>
        <v>3809.7</v>
      </c>
      <c r="U64" s="39" t="str">
        <f t="shared" si="17"/>
        <v>-</v>
      </c>
      <c r="V64" s="28">
        <v>0</v>
      </c>
      <c r="W64" s="28">
        <v>3809.88</v>
      </c>
      <c r="X64" s="30">
        <f>Tabela4[[#This Row],[Realizado
Mar]]-Tabela4[[#This Row],[Orçado
Mar]]</f>
        <v>3809.88</v>
      </c>
      <c r="Y64" s="39" t="str">
        <f t="shared" si="18"/>
        <v>-</v>
      </c>
      <c r="Z64" s="28">
        <v>0</v>
      </c>
      <c r="AA64" s="28">
        <v>0</v>
      </c>
      <c r="AB64" s="30">
        <f>Tabela4[[#This Row],[Realizado
Abr]]-Tabela4[[#This Row],[Orçado
Abr]]</f>
        <v>0</v>
      </c>
      <c r="AC64" s="39" t="str">
        <f t="shared" si="19"/>
        <v>-</v>
      </c>
      <c r="AD64" s="28">
        <v>0</v>
      </c>
      <c r="AE64" s="28">
        <v>0</v>
      </c>
      <c r="AF64" s="30">
        <f>Tabela4[[#This Row],[Realizado
Mai]]-Tabela4[[#This Row],[Orçado
Mai]]</f>
        <v>0</v>
      </c>
      <c r="AG64" s="38" t="str">
        <f t="shared" si="20"/>
        <v>-</v>
      </c>
      <c r="AH64" s="28">
        <v>0</v>
      </c>
      <c r="AI64" s="28">
        <v>0</v>
      </c>
      <c r="AJ64" s="30">
        <f>Tabela4[[#This Row],[Realizado
Jun]]-Tabela4[[#This Row],[Orçado
Jun]]</f>
        <v>0</v>
      </c>
      <c r="AK64" s="38" t="str">
        <f t="shared" si="21"/>
        <v>-</v>
      </c>
      <c r="AL64" s="28">
        <v>0</v>
      </c>
      <c r="AM64" s="28">
        <v>0</v>
      </c>
      <c r="AN64" s="30">
        <f>Tabela4[[#This Row],[Realizado
Jul]]-Tabela4[[#This Row],[Orçado
Jul]]</f>
        <v>0</v>
      </c>
      <c r="AO64" s="38" t="str">
        <f t="shared" si="22"/>
        <v>-</v>
      </c>
      <c r="AP64" s="28">
        <v>0</v>
      </c>
      <c r="AQ64" s="28">
        <v>0</v>
      </c>
      <c r="AR64" s="29">
        <f>Tabela4[[#This Row],[Realizado
Ago]]-Tabela4[[#This Row],[Orçado
Ago]]</f>
        <v>0</v>
      </c>
      <c r="AS64" s="38" t="str">
        <f t="shared" si="23"/>
        <v>-</v>
      </c>
      <c r="AT64" s="28">
        <v>0</v>
      </c>
      <c r="AU64" s="28">
        <v>0</v>
      </c>
      <c r="AV64" s="29">
        <f>Tabela4[[#This Row],[Realizado
Set]]-Tabela4[[#This Row],[Orçado
Set]]</f>
        <v>0</v>
      </c>
      <c r="AW64" s="38" t="str">
        <f t="shared" si="24"/>
        <v>-</v>
      </c>
      <c r="AX64" s="28">
        <v>0</v>
      </c>
      <c r="AY64" s="28">
        <v>0</v>
      </c>
      <c r="AZ64" s="29">
        <f>Tabela4[[#This Row],[Realizado
Out]]-Tabela4[[#This Row],[Orçado
Out]]</f>
        <v>0</v>
      </c>
      <c r="BA64" s="38" t="str">
        <f t="shared" si="25"/>
        <v>-</v>
      </c>
      <c r="BB64" s="28">
        <v>0</v>
      </c>
      <c r="BC64" s="28">
        <v>0</v>
      </c>
      <c r="BD64" s="29">
        <f>Tabela4[[#This Row],[Realizado
Nov]]-Tabela4[[#This Row],[Orçado
Nov]]</f>
        <v>0</v>
      </c>
      <c r="BE64" s="38" t="str">
        <f t="shared" si="26"/>
        <v>-</v>
      </c>
      <c r="BF64" s="28">
        <v>0</v>
      </c>
      <c r="BG64" s="57">
        <v>0</v>
      </c>
      <c r="BH64" s="29">
        <f>Tabela4[[#This Row],[Realizado
Dez]]-Tabela4[[#This Row],[Orçado
Dez]]</f>
        <v>0</v>
      </c>
      <c r="BI64" s="38" t="str">
        <f t="shared" si="27"/>
        <v>-</v>
      </c>
      <c r="BJ64" s="29">
        <f t="shared" si="28"/>
        <v>0</v>
      </c>
      <c r="BK64" s="29">
        <f t="shared" si="29"/>
        <v>11487.43</v>
      </c>
      <c r="BL64" s="34">
        <f t="shared" si="30"/>
        <v>15297.31</v>
      </c>
      <c r="BM64" s="42" t="str">
        <f t="shared" si="31"/>
        <v>-</v>
      </c>
      <c r="BN64" s="36">
        <f>Tabela4[[#This Row],[Total Orçado
Ano]]-Tabela4[[#This Row],[Total Realizado
Ano]]</f>
        <v>-11487.43</v>
      </c>
      <c r="BO64" s="36">
        <f>Tabela4[[#This Row],[Total Orçado
Ano]]-Tabela4[[#This Row],[Total Realizado
Ano]]</f>
        <v>-11487.43</v>
      </c>
    </row>
    <row r="65" spans="1:67" s="23" customFormat="1" ht="12" x14ac:dyDescent="0.2">
      <c r="A65" s="25">
        <v>2026</v>
      </c>
      <c r="B65" s="14" t="s">
        <v>92</v>
      </c>
      <c r="C65" s="14" t="s">
        <v>139</v>
      </c>
      <c r="D65" s="23" t="s">
        <v>93</v>
      </c>
      <c r="E65" s="23" t="s">
        <v>2</v>
      </c>
      <c r="F65" s="23" t="s">
        <v>224</v>
      </c>
      <c r="H65" s="23" t="s">
        <v>100</v>
      </c>
      <c r="J65" s="23" t="s">
        <v>86</v>
      </c>
      <c r="K65" s="23" t="s">
        <v>96</v>
      </c>
      <c r="L65" s="23" t="s">
        <v>88</v>
      </c>
      <c r="N65" s="28">
        <v>1247</v>
      </c>
      <c r="O65" s="28">
        <v>1567.17</v>
      </c>
      <c r="P65" s="30">
        <f>Tabela4[[#This Row],[Realizado
Jan]]-Tabela4[[#This Row],[Orçado
Jan]]</f>
        <v>320.17000000000007</v>
      </c>
      <c r="Q65" s="39">
        <f t="shared" si="16"/>
        <v>0.25675220529270254</v>
      </c>
      <c r="R65" s="28">
        <v>1247</v>
      </c>
      <c r="S65" s="28">
        <v>1602.72</v>
      </c>
      <c r="T65" s="30">
        <f>Tabela4[[#This Row],[Realizado
Fev]]-Tabela4[[#This Row],[Orçado
Fev]]</f>
        <v>355.72</v>
      </c>
      <c r="U65" s="39">
        <f t="shared" si="17"/>
        <v>0.2852606255012029</v>
      </c>
      <c r="V65" s="28">
        <v>1301</v>
      </c>
      <c r="W65" s="28">
        <v>1602.72</v>
      </c>
      <c r="X65" s="30">
        <f>Tabela4[[#This Row],[Realizado
Mar]]-Tabela4[[#This Row],[Orçado
Mar]]</f>
        <v>301.72000000000003</v>
      </c>
      <c r="Y65" s="39">
        <f t="shared" si="18"/>
        <v>0.23191391237509609</v>
      </c>
      <c r="Z65" s="28">
        <v>1301</v>
      </c>
      <c r="AA65" s="28"/>
      <c r="AB65" s="30">
        <f>Tabela4[[#This Row],[Realizado
Abr]]-Tabela4[[#This Row],[Orçado
Abr]]</f>
        <v>-1301</v>
      </c>
      <c r="AC65" s="39">
        <f t="shared" si="19"/>
        <v>-1</v>
      </c>
      <c r="AD65" s="28">
        <v>1487</v>
      </c>
      <c r="AE65" s="28">
        <v>0</v>
      </c>
      <c r="AF65" s="30">
        <f>Tabela4[[#This Row],[Realizado
Mai]]-Tabela4[[#This Row],[Orçado
Mai]]</f>
        <v>-1487</v>
      </c>
      <c r="AG65" s="38">
        <f t="shared" si="20"/>
        <v>-1</v>
      </c>
      <c r="AH65" s="28">
        <v>1487</v>
      </c>
      <c r="AI65" s="28">
        <v>0</v>
      </c>
      <c r="AJ65" s="30">
        <f>Tabela4[[#This Row],[Realizado
Jun]]-Tabela4[[#This Row],[Orçado
Jun]]</f>
        <v>-1487</v>
      </c>
      <c r="AK65" s="38">
        <f t="shared" si="21"/>
        <v>-1</v>
      </c>
      <c r="AL65" s="28">
        <v>1487</v>
      </c>
      <c r="AM65" s="28">
        <v>0</v>
      </c>
      <c r="AN65" s="30">
        <f>Tabela4[[#This Row],[Realizado
Jul]]-Tabela4[[#This Row],[Orçado
Jul]]</f>
        <v>-1487</v>
      </c>
      <c r="AO65" s="38">
        <f t="shared" si="22"/>
        <v>-1</v>
      </c>
      <c r="AP65" s="28">
        <v>1487</v>
      </c>
      <c r="AQ65" s="28"/>
      <c r="AR65" s="29">
        <f>Tabela4[[#This Row],[Realizado
Ago]]-Tabela4[[#This Row],[Orçado
Ago]]</f>
        <v>-1487</v>
      </c>
      <c r="AS65" s="38">
        <f t="shared" si="23"/>
        <v>-1</v>
      </c>
      <c r="AT65" s="28">
        <v>1487</v>
      </c>
      <c r="AU65" s="28">
        <v>0</v>
      </c>
      <c r="AV65" s="29">
        <f>Tabela4[[#This Row],[Realizado
Set]]-Tabela4[[#This Row],[Orçado
Set]]</f>
        <v>-1487</v>
      </c>
      <c r="AW65" s="38">
        <f t="shared" si="24"/>
        <v>-1</v>
      </c>
      <c r="AX65" s="28">
        <v>1487</v>
      </c>
      <c r="AY65" s="28">
        <v>0</v>
      </c>
      <c r="AZ65" s="29">
        <f>Tabela4[[#This Row],[Realizado
Out]]-Tabela4[[#This Row],[Orçado
Out]]</f>
        <v>-1487</v>
      </c>
      <c r="BA65" s="38">
        <f t="shared" si="25"/>
        <v>-1</v>
      </c>
      <c r="BB65" s="28">
        <v>1487</v>
      </c>
      <c r="BC65" s="28">
        <v>0</v>
      </c>
      <c r="BD65" s="29">
        <f>Tabela4[[#This Row],[Realizado
Nov]]-Tabela4[[#This Row],[Orçado
Nov]]</f>
        <v>-1487</v>
      </c>
      <c r="BE65" s="38">
        <f t="shared" si="26"/>
        <v>-1</v>
      </c>
      <c r="BF65" s="28">
        <v>1487</v>
      </c>
      <c r="BG65" s="57">
        <v>0</v>
      </c>
      <c r="BH65" s="29">
        <f>Tabela4[[#This Row],[Realizado
Dez]]-Tabela4[[#This Row],[Orçado
Dez]]</f>
        <v>-1487</v>
      </c>
      <c r="BI65" s="38">
        <f t="shared" si="27"/>
        <v>-1</v>
      </c>
      <c r="BJ65" s="29">
        <f t="shared" si="28"/>
        <v>16992</v>
      </c>
      <c r="BK65" s="29">
        <f t="shared" si="29"/>
        <v>4772.6100000000006</v>
      </c>
      <c r="BL65" s="34">
        <f t="shared" si="30"/>
        <v>-11917.670000000002</v>
      </c>
      <c r="BM65" s="42">
        <f t="shared" si="31"/>
        <v>-0.71912605932203388</v>
      </c>
      <c r="BN65" s="36">
        <f>Tabela4[[#This Row],[Total Orçado
Ano]]-Tabela4[[#This Row],[Total Realizado
Ano]]</f>
        <v>12219.39</v>
      </c>
      <c r="BO65" s="36">
        <f>Tabela4[[#This Row],[Total Orçado
Ano]]-Tabela4[[#This Row],[Total Realizado
Ano]]</f>
        <v>12219.39</v>
      </c>
    </row>
    <row r="66" spans="1:67" s="23" customFormat="1" ht="12" x14ac:dyDescent="0.2">
      <c r="A66" s="25">
        <v>2026</v>
      </c>
      <c r="B66" s="14" t="s">
        <v>92</v>
      </c>
      <c r="C66" s="14" t="s">
        <v>139</v>
      </c>
      <c r="D66" s="23" t="s">
        <v>93</v>
      </c>
      <c r="E66" s="23" t="s">
        <v>2</v>
      </c>
      <c r="F66" s="23" t="s">
        <v>225</v>
      </c>
      <c r="H66" s="23" t="s">
        <v>100</v>
      </c>
      <c r="J66" s="23" t="s">
        <v>86</v>
      </c>
      <c r="K66" s="23" t="s">
        <v>96</v>
      </c>
      <c r="L66" s="23" t="s">
        <v>88</v>
      </c>
      <c r="N66" s="28">
        <v>2028</v>
      </c>
      <c r="O66" s="28">
        <v>3601.88</v>
      </c>
      <c r="P66" s="30">
        <f>Tabela4[[#This Row],[Realizado
Jan]]-Tabela4[[#This Row],[Orçado
Jan]]</f>
        <v>1573.88</v>
      </c>
      <c r="Q66" s="39">
        <f t="shared" si="16"/>
        <v>0.77607495069033539</v>
      </c>
      <c r="R66" s="28">
        <v>2028</v>
      </c>
      <c r="S66" s="28">
        <v>4283.2700000000004</v>
      </c>
      <c r="T66" s="30">
        <f>Tabela4[[#This Row],[Realizado
Fev]]-Tabela4[[#This Row],[Orçado
Fev]]</f>
        <v>2255.2700000000004</v>
      </c>
      <c r="U66" s="39">
        <f t="shared" si="17"/>
        <v>1.1120660749506905</v>
      </c>
      <c r="V66" s="28">
        <v>2117</v>
      </c>
      <c r="W66" s="28">
        <v>6928.17</v>
      </c>
      <c r="X66" s="30">
        <f>Tabela4[[#This Row],[Realizado
Mar]]-Tabela4[[#This Row],[Orçado
Mar]]</f>
        <v>4811.17</v>
      </c>
      <c r="Y66" s="39">
        <f t="shared" si="18"/>
        <v>2.2726358053849789</v>
      </c>
      <c r="Z66" s="28">
        <v>2117</v>
      </c>
      <c r="AA66" s="28"/>
      <c r="AB66" s="30">
        <f>Tabela4[[#This Row],[Realizado
Abr]]-Tabela4[[#This Row],[Orçado
Abr]]</f>
        <v>-2117</v>
      </c>
      <c r="AC66" s="39">
        <f t="shared" si="19"/>
        <v>-1</v>
      </c>
      <c r="AD66" s="28">
        <v>2294</v>
      </c>
      <c r="AE66" s="28">
        <v>0</v>
      </c>
      <c r="AF66" s="30">
        <f>Tabela4[[#This Row],[Realizado
Mai]]-Tabela4[[#This Row],[Orçado
Mai]]</f>
        <v>-2294</v>
      </c>
      <c r="AG66" s="38">
        <f t="shared" si="20"/>
        <v>-1</v>
      </c>
      <c r="AH66" s="28">
        <v>2294</v>
      </c>
      <c r="AI66" s="28">
        <v>0</v>
      </c>
      <c r="AJ66" s="30">
        <f>Tabela4[[#This Row],[Realizado
Jun]]-Tabela4[[#This Row],[Orçado
Jun]]</f>
        <v>-2294</v>
      </c>
      <c r="AK66" s="38">
        <f t="shared" si="21"/>
        <v>-1</v>
      </c>
      <c r="AL66" s="28">
        <v>2294</v>
      </c>
      <c r="AM66" s="28">
        <v>0</v>
      </c>
      <c r="AN66" s="30">
        <f>Tabela4[[#This Row],[Realizado
Jul]]-Tabela4[[#This Row],[Orçado
Jul]]</f>
        <v>-2294</v>
      </c>
      <c r="AO66" s="38">
        <f t="shared" si="22"/>
        <v>-1</v>
      </c>
      <c r="AP66" s="28">
        <v>2294</v>
      </c>
      <c r="AQ66" s="28"/>
      <c r="AR66" s="29">
        <f>Tabela4[[#This Row],[Realizado
Ago]]-Tabela4[[#This Row],[Orçado
Ago]]</f>
        <v>-2294</v>
      </c>
      <c r="AS66" s="38">
        <f t="shared" si="23"/>
        <v>-1</v>
      </c>
      <c r="AT66" s="28">
        <v>2294</v>
      </c>
      <c r="AU66" s="28">
        <v>0</v>
      </c>
      <c r="AV66" s="29">
        <f>Tabela4[[#This Row],[Realizado
Set]]-Tabela4[[#This Row],[Orçado
Set]]</f>
        <v>-2294</v>
      </c>
      <c r="AW66" s="38">
        <f t="shared" si="24"/>
        <v>-1</v>
      </c>
      <c r="AX66" s="28">
        <v>2294</v>
      </c>
      <c r="AY66" s="28">
        <v>0</v>
      </c>
      <c r="AZ66" s="29">
        <f>Tabela4[[#This Row],[Realizado
Out]]-Tabela4[[#This Row],[Orçado
Out]]</f>
        <v>-2294</v>
      </c>
      <c r="BA66" s="38">
        <f t="shared" si="25"/>
        <v>-1</v>
      </c>
      <c r="BB66" s="28">
        <v>2294</v>
      </c>
      <c r="BC66" s="28">
        <v>0</v>
      </c>
      <c r="BD66" s="29">
        <f>Tabela4[[#This Row],[Realizado
Nov]]-Tabela4[[#This Row],[Orçado
Nov]]</f>
        <v>-2294</v>
      </c>
      <c r="BE66" s="38">
        <f t="shared" si="26"/>
        <v>-1</v>
      </c>
      <c r="BF66" s="28">
        <v>2294</v>
      </c>
      <c r="BG66" s="57">
        <v>0</v>
      </c>
      <c r="BH66" s="29">
        <f>Tabela4[[#This Row],[Realizado
Dez]]-Tabela4[[#This Row],[Orçado
Dez]]</f>
        <v>-2294</v>
      </c>
      <c r="BI66" s="38">
        <f t="shared" si="27"/>
        <v>-1</v>
      </c>
      <c r="BJ66" s="29">
        <f t="shared" si="28"/>
        <v>26642</v>
      </c>
      <c r="BK66" s="29">
        <f t="shared" si="29"/>
        <v>14813.32</v>
      </c>
      <c r="BL66" s="34">
        <f t="shared" si="30"/>
        <v>-7017.5099999999993</v>
      </c>
      <c r="BM66" s="42">
        <f t="shared" si="31"/>
        <v>-0.44398618722318145</v>
      </c>
      <c r="BN66" s="36">
        <f>Tabela4[[#This Row],[Total Orçado
Ano]]-Tabela4[[#This Row],[Total Realizado
Ano]]</f>
        <v>11828.68</v>
      </c>
      <c r="BO66" s="36">
        <f>Tabela4[[#This Row],[Total Orçado
Ano]]-Tabela4[[#This Row],[Total Realizado
Ano]]</f>
        <v>11828.68</v>
      </c>
    </row>
    <row r="67" spans="1:67" s="23" customFormat="1" ht="12" x14ac:dyDescent="0.2">
      <c r="A67" s="25">
        <v>2026</v>
      </c>
      <c r="B67" s="14" t="s">
        <v>92</v>
      </c>
      <c r="C67" s="14" t="s">
        <v>139</v>
      </c>
      <c r="D67" s="23" t="s">
        <v>93</v>
      </c>
      <c r="E67" s="23" t="s">
        <v>2</v>
      </c>
      <c r="F67" s="23" t="s">
        <v>235</v>
      </c>
      <c r="H67" s="23" t="s">
        <v>100</v>
      </c>
      <c r="J67" s="23" t="s">
        <v>86</v>
      </c>
      <c r="K67" s="23" t="s">
        <v>96</v>
      </c>
      <c r="L67" s="23" t="s">
        <v>88</v>
      </c>
      <c r="N67" s="28">
        <v>275</v>
      </c>
      <c r="O67" s="28">
        <v>183.16</v>
      </c>
      <c r="P67" s="30">
        <f>Tabela4[[#This Row],[Realizado
Jan]]-Tabela4[[#This Row],[Orçado
Jan]]</f>
        <v>-91.84</v>
      </c>
      <c r="Q67" s="39">
        <f t="shared" si="16"/>
        <v>-0.33396363636363635</v>
      </c>
      <c r="R67" s="28">
        <v>275</v>
      </c>
      <c r="S67" s="28">
        <v>183.16</v>
      </c>
      <c r="T67" s="30">
        <f>Tabela4[[#This Row],[Realizado
Fev]]-Tabela4[[#This Row],[Orçado
Fev]]</f>
        <v>-91.84</v>
      </c>
      <c r="U67" s="39">
        <f t="shared" si="17"/>
        <v>-0.33396363636363635</v>
      </c>
      <c r="V67" s="28">
        <v>287</v>
      </c>
      <c r="W67" s="28">
        <v>183.16</v>
      </c>
      <c r="X67" s="30">
        <f>Tabela4[[#This Row],[Realizado
Mar]]-Tabela4[[#This Row],[Orçado
Mar]]</f>
        <v>-103.84</v>
      </c>
      <c r="Y67" s="39">
        <f t="shared" si="18"/>
        <v>-0.36181184668989547</v>
      </c>
      <c r="Z67" s="28">
        <v>287</v>
      </c>
      <c r="AA67" s="28"/>
      <c r="AB67" s="30">
        <f>Tabela4[[#This Row],[Realizado
Abr]]-Tabela4[[#This Row],[Orçado
Abr]]</f>
        <v>-287</v>
      </c>
      <c r="AC67" s="39">
        <f t="shared" si="19"/>
        <v>-1</v>
      </c>
      <c r="AD67" s="28">
        <v>382</v>
      </c>
      <c r="AE67" s="28">
        <v>0</v>
      </c>
      <c r="AF67" s="30">
        <f>Tabela4[[#This Row],[Realizado
Mai]]-Tabela4[[#This Row],[Orçado
Mai]]</f>
        <v>-382</v>
      </c>
      <c r="AG67" s="38">
        <f t="shared" si="20"/>
        <v>-1</v>
      </c>
      <c r="AH67" s="28">
        <v>382</v>
      </c>
      <c r="AI67" s="28">
        <v>0</v>
      </c>
      <c r="AJ67" s="30">
        <f>Tabela4[[#This Row],[Realizado
Jun]]-Tabela4[[#This Row],[Orçado
Jun]]</f>
        <v>-382</v>
      </c>
      <c r="AK67" s="38">
        <f t="shared" si="21"/>
        <v>-1</v>
      </c>
      <c r="AL67" s="28">
        <v>382</v>
      </c>
      <c r="AM67" s="28">
        <v>0</v>
      </c>
      <c r="AN67" s="30">
        <f>Tabela4[[#This Row],[Realizado
Jul]]-Tabela4[[#This Row],[Orçado
Jul]]</f>
        <v>-382</v>
      </c>
      <c r="AO67" s="38">
        <f t="shared" si="22"/>
        <v>-1</v>
      </c>
      <c r="AP67" s="28">
        <v>382</v>
      </c>
      <c r="AQ67" s="28"/>
      <c r="AR67" s="29">
        <f>Tabela4[[#This Row],[Realizado
Ago]]-Tabela4[[#This Row],[Orçado
Ago]]</f>
        <v>-382</v>
      </c>
      <c r="AS67" s="38">
        <f t="shared" si="23"/>
        <v>-1</v>
      </c>
      <c r="AT67" s="28">
        <v>382</v>
      </c>
      <c r="AU67" s="28">
        <v>0</v>
      </c>
      <c r="AV67" s="29">
        <f>Tabela4[[#This Row],[Realizado
Set]]-Tabela4[[#This Row],[Orçado
Set]]</f>
        <v>-382</v>
      </c>
      <c r="AW67" s="38">
        <f t="shared" si="24"/>
        <v>-1</v>
      </c>
      <c r="AX67" s="28">
        <v>382</v>
      </c>
      <c r="AY67" s="28">
        <v>0</v>
      </c>
      <c r="AZ67" s="29">
        <f>Tabela4[[#This Row],[Realizado
Out]]-Tabela4[[#This Row],[Orçado
Out]]</f>
        <v>-382</v>
      </c>
      <c r="BA67" s="38">
        <f t="shared" si="25"/>
        <v>-1</v>
      </c>
      <c r="BB67" s="28">
        <v>382</v>
      </c>
      <c r="BC67" s="28">
        <v>0</v>
      </c>
      <c r="BD67" s="29">
        <f>Tabela4[[#This Row],[Realizado
Nov]]-Tabela4[[#This Row],[Orçado
Nov]]</f>
        <v>-382</v>
      </c>
      <c r="BE67" s="38">
        <f t="shared" si="26"/>
        <v>-1</v>
      </c>
      <c r="BF67" s="28">
        <v>382</v>
      </c>
      <c r="BG67" s="57">
        <v>0</v>
      </c>
      <c r="BH67" s="29">
        <f>Tabela4[[#This Row],[Realizado
Dez]]-Tabela4[[#This Row],[Orçado
Dez]]</f>
        <v>-382</v>
      </c>
      <c r="BI67" s="38">
        <f t="shared" si="27"/>
        <v>-1</v>
      </c>
      <c r="BJ67" s="29">
        <f t="shared" si="28"/>
        <v>4180</v>
      </c>
      <c r="BK67" s="29">
        <f t="shared" si="29"/>
        <v>549.48</v>
      </c>
      <c r="BL67" s="34">
        <f t="shared" si="30"/>
        <v>-3734.3600000000006</v>
      </c>
      <c r="BM67" s="42">
        <f t="shared" si="31"/>
        <v>-0.86854545454545451</v>
      </c>
      <c r="BN67" s="36">
        <f>Tabela4[[#This Row],[Total Orçado
Ano]]-Tabela4[[#This Row],[Total Realizado
Ano]]</f>
        <v>3630.52</v>
      </c>
      <c r="BO67" s="36">
        <f>Tabela4[[#This Row],[Total Orçado
Ano]]-Tabela4[[#This Row],[Total Realizado
Ano]]</f>
        <v>3630.52</v>
      </c>
    </row>
    <row r="68" spans="1:67" s="23" customFormat="1" ht="12" x14ac:dyDescent="0.2">
      <c r="A68" s="25">
        <v>2026</v>
      </c>
      <c r="B68" s="14" t="s">
        <v>92</v>
      </c>
      <c r="C68" s="14" t="s">
        <v>139</v>
      </c>
      <c r="D68" s="23" t="s">
        <v>93</v>
      </c>
      <c r="E68" s="23" t="s">
        <v>2</v>
      </c>
      <c r="F68" s="23" t="s">
        <v>230</v>
      </c>
      <c r="H68" s="23" t="s">
        <v>121</v>
      </c>
      <c r="J68" s="23" t="s">
        <v>86</v>
      </c>
      <c r="K68" s="23" t="s">
        <v>96</v>
      </c>
      <c r="L68" s="23" t="s">
        <v>88</v>
      </c>
      <c r="M68" s="23" t="s">
        <v>305</v>
      </c>
      <c r="N68" s="28">
        <v>397</v>
      </c>
      <c r="O68" s="28">
        <v>397.42</v>
      </c>
      <c r="P68" s="30">
        <f>Tabela4[[#This Row],[Realizado
Jan]]-Tabela4[[#This Row],[Orçado
Jan]]</f>
        <v>0.42000000000001592</v>
      </c>
      <c r="Q68" s="39">
        <f t="shared" ref="Q68:Q84" si="32">IFERROR((O68-N68)/N68,"-")</f>
        <v>1.057934508816161E-3</v>
      </c>
      <c r="R68" s="28">
        <v>397</v>
      </c>
      <c r="S68" s="28">
        <v>397.42</v>
      </c>
      <c r="T68" s="30">
        <f>Tabela4[[#This Row],[Realizado
Fev]]-Tabela4[[#This Row],[Orçado
Fev]]</f>
        <v>0.42000000000001592</v>
      </c>
      <c r="U68" s="39">
        <f t="shared" ref="U68:U84" si="33">IFERROR((S68-R68)/R68,"-")</f>
        <v>1.057934508816161E-3</v>
      </c>
      <c r="V68" s="28">
        <v>397</v>
      </c>
      <c r="W68" s="28">
        <v>397.42</v>
      </c>
      <c r="X68" s="30">
        <f>Tabela4[[#This Row],[Realizado
Mar]]-Tabela4[[#This Row],[Orçado
Mar]]</f>
        <v>0.42000000000001592</v>
      </c>
      <c r="Y68" s="39">
        <f t="shared" ref="Y68:Y84" si="34">IFERROR((W68-V68)/V68,"-")</f>
        <v>1.057934508816161E-3</v>
      </c>
      <c r="Z68" s="28">
        <v>397</v>
      </c>
      <c r="AA68" s="28"/>
      <c r="AB68" s="30">
        <f>Tabela4[[#This Row],[Realizado
Abr]]-Tabela4[[#This Row],[Orçado
Abr]]</f>
        <v>-397</v>
      </c>
      <c r="AC68" s="39">
        <f t="shared" ref="AC68:AC84" si="35">IFERROR((AA68-Z68)/Z68,"-")</f>
        <v>-1</v>
      </c>
      <c r="AD68" s="28">
        <v>397</v>
      </c>
      <c r="AE68" s="28">
        <v>0</v>
      </c>
      <c r="AF68" s="30">
        <f>Tabela4[[#This Row],[Realizado
Mai]]-Tabela4[[#This Row],[Orçado
Mai]]</f>
        <v>-397</v>
      </c>
      <c r="AG68" s="38">
        <f t="shared" ref="AG68:AG84" si="36">IFERROR((AE68-AD68)/AD68,"-")</f>
        <v>-1</v>
      </c>
      <c r="AH68" s="28">
        <v>397</v>
      </c>
      <c r="AI68" s="28">
        <v>0</v>
      </c>
      <c r="AJ68" s="30">
        <f>Tabela4[[#This Row],[Realizado
Jun]]-Tabela4[[#This Row],[Orçado
Jun]]</f>
        <v>-397</v>
      </c>
      <c r="AK68" s="38">
        <f t="shared" ref="AK68:AK84" si="37">IFERROR((AI68-AH68)/AH68,"-")</f>
        <v>-1</v>
      </c>
      <c r="AL68" s="28">
        <v>397</v>
      </c>
      <c r="AM68" s="28">
        <v>0</v>
      </c>
      <c r="AN68" s="30">
        <f>Tabela4[[#This Row],[Realizado
Jul]]-Tabela4[[#This Row],[Orçado
Jul]]</f>
        <v>-397</v>
      </c>
      <c r="AO68" s="38">
        <f t="shared" ref="AO68:AO84" si="38">IFERROR((AM68-AL68)/AL68,"-")</f>
        <v>-1</v>
      </c>
      <c r="AP68" s="28">
        <v>397</v>
      </c>
      <c r="AQ68" s="28"/>
      <c r="AR68" s="29">
        <f>Tabela4[[#This Row],[Realizado
Ago]]-Tabela4[[#This Row],[Orçado
Ago]]</f>
        <v>-397</v>
      </c>
      <c r="AS68" s="38">
        <f t="shared" ref="AS68:AS84" si="39">IFERROR((AQ68-AP68)/AP68,"-")</f>
        <v>-1</v>
      </c>
      <c r="AT68" s="28">
        <v>397</v>
      </c>
      <c r="AU68" s="28">
        <v>0</v>
      </c>
      <c r="AV68" s="29">
        <f>Tabela4[[#This Row],[Realizado
Set]]-Tabela4[[#This Row],[Orçado
Set]]</f>
        <v>-397</v>
      </c>
      <c r="AW68" s="38">
        <f t="shared" ref="AW68:AW84" si="40">IFERROR((AU68-AT68)/AT68,"-")</f>
        <v>-1</v>
      </c>
      <c r="AX68" s="28">
        <v>397</v>
      </c>
      <c r="AY68" s="28">
        <v>0</v>
      </c>
      <c r="AZ68" s="29">
        <f>Tabela4[[#This Row],[Realizado
Out]]-Tabela4[[#This Row],[Orçado
Out]]</f>
        <v>-397</v>
      </c>
      <c r="BA68" s="38">
        <f t="shared" ref="BA68:BA84" si="41">IFERROR((AY68-AX68)/AX68,"-")</f>
        <v>-1</v>
      </c>
      <c r="BB68" s="28">
        <v>397</v>
      </c>
      <c r="BC68" s="28">
        <v>0</v>
      </c>
      <c r="BD68" s="29">
        <f>Tabela4[[#This Row],[Realizado
Nov]]-Tabela4[[#This Row],[Orçado
Nov]]</f>
        <v>-397</v>
      </c>
      <c r="BE68" s="38">
        <f t="shared" ref="BE68:BE84" si="42">IFERROR((BC68-BB68)/BB68,"-")</f>
        <v>-1</v>
      </c>
      <c r="BF68" s="28">
        <v>397</v>
      </c>
      <c r="BG68" s="57">
        <v>0</v>
      </c>
      <c r="BH68" s="29">
        <f>Tabela4[[#This Row],[Realizado
Dez]]-Tabela4[[#This Row],[Orçado
Dez]]</f>
        <v>-397</v>
      </c>
      <c r="BI68" s="38">
        <f t="shared" ref="BI68:BI84" si="43">IFERROR((BG68-BF68)/BF68,"-")</f>
        <v>-1</v>
      </c>
      <c r="BJ68" s="29">
        <f t="shared" ref="BJ68:BJ84" si="44">SUM(BF68,BB68,AX68,AT68,AP68,AL68,AH68,AD68,Z68,V68,R68,N68)</f>
        <v>4764</v>
      </c>
      <c r="BK68" s="29">
        <f t="shared" ref="BK68:BK84" si="45">SUM(BG68,BC68,AY68,AU68,AQ68,AM68,AI68,AE68,AA68,W68,S68,O68)</f>
        <v>1192.26</v>
      </c>
      <c r="BL68" s="34">
        <f t="shared" ref="BL68:BL84" si="46">SUM(BH68,BD68,AZ68,AV68,AR68,AN68,AJ68,AF68,AB68,X68,X68,T68,P68)</f>
        <v>-3571.3199999999997</v>
      </c>
      <c r="BM68" s="42">
        <f t="shared" ref="BM68:BM84" si="47">IFERROR((BK68-BJ68)/BJ68,"-")</f>
        <v>-0.7497355163727959</v>
      </c>
      <c r="BN68" s="36">
        <f>Tabela4[[#This Row],[Total Orçado
Ano]]-Tabela4[[#This Row],[Total Realizado
Ano]]</f>
        <v>3571.74</v>
      </c>
      <c r="BO68" s="36">
        <f>Tabela4[[#This Row],[Total Orçado
Ano]]-Tabela4[[#This Row],[Total Realizado
Ano]]</f>
        <v>3571.74</v>
      </c>
    </row>
    <row r="69" spans="1:67" s="23" customFormat="1" ht="12" x14ac:dyDescent="0.2">
      <c r="A69" s="25">
        <v>2026</v>
      </c>
      <c r="B69" s="14" t="s">
        <v>92</v>
      </c>
      <c r="C69" s="14" t="s">
        <v>139</v>
      </c>
      <c r="D69" s="23" t="s">
        <v>93</v>
      </c>
      <c r="E69" s="23" t="s">
        <v>2</v>
      </c>
      <c r="F69" s="23" t="s">
        <v>231</v>
      </c>
      <c r="H69" s="23" t="s">
        <v>122</v>
      </c>
      <c r="J69" s="23" t="s">
        <v>86</v>
      </c>
      <c r="K69" s="23" t="s">
        <v>96</v>
      </c>
      <c r="L69" s="23" t="s">
        <v>88</v>
      </c>
      <c r="M69" s="23" t="s">
        <v>249</v>
      </c>
      <c r="N69" s="28">
        <v>0</v>
      </c>
      <c r="O69" s="28">
        <v>0</v>
      </c>
      <c r="P69" s="30">
        <f>Tabela4[[#This Row],[Realizado
Jan]]-Tabela4[[#This Row],[Orçado
Jan]]</f>
        <v>0</v>
      </c>
      <c r="Q69" s="39" t="str">
        <f t="shared" si="32"/>
        <v>-</v>
      </c>
      <c r="R69" s="28">
        <v>0</v>
      </c>
      <c r="S69" s="28">
        <v>9087.5400000000009</v>
      </c>
      <c r="T69" s="30">
        <f>Tabela4[[#This Row],[Realizado
Fev]]-Tabela4[[#This Row],[Orçado
Fev]]</f>
        <v>9087.5400000000009</v>
      </c>
      <c r="U69" s="39" t="str">
        <f t="shared" si="33"/>
        <v>-</v>
      </c>
      <c r="V69" s="28">
        <v>0</v>
      </c>
      <c r="W69" s="28">
        <v>0</v>
      </c>
      <c r="X69" s="30">
        <f>Tabela4[[#This Row],[Realizado
Mar]]-Tabela4[[#This Row],[Orçado
Mar]]</f>
        <v>0</v>
      </c>
      <c r="Y69" s="39" t="str">
        <f t="shared" si="34"/>
        <v>-</v>
      </c>
      <c r="Z69" s="28">
        <v>0</v>
      </c>
      <c r="AA69" s="28">
        <v>0</v>
      </c>
      <c r="AB69" s="30">
        <f>Tabela4[[#This Row],[Realizado
Abr]]-Tabela4[[#This Row],[Orçado
Abr]]</f>
        <v>0</v>
      </c>
      <c r="AC69" s="39" t="str">
        <f t="shared" si="35"/>
        <v>-</v>
      </c>
      <c r="AD69" s="28">
        <v>0</v>
      </c>
      <c r="AE69" s="28">
        <v>0</v>
      </c>
      <c r="AF69" s="30">
        <f>Tabela4[[#This Row],[Realizado
Mai]]-Tabela4[[#This Row],[Orçado
Mai]]</f>
        <v>0</v>
      </c>
      <c r="AG69" s="38" t="str">
        <f t="shared" si="36"/>
        <v>-</v>
      </c>
      <c r="AH69" s="28">
        <v>0</v>
      </c>
      <c r="AI69" s="28">
        <v>0</v>
      </c>
      <c r="AJ69" s="30">
        <f>Tabela4[[#This Row],[Realizado
Jun]]-Tabela4[[#This Row],[Orçado
Jun]]</f>
        <v>0</v>
      </c>
      <c r="AK69" s="38" t="str">
        <f t="shared" si="37"/>
        <v>-</v>
      </c>
      <c r="AL69" s="28">
        <v>0</v>
      </c>
      <c r="AM69" s="28">
        <v>0</v>
      </c>
      <c r="AN69" s="30">
        <f>Tabela4[[#This Row],[Realizado
Jul]]-Tabela4[[#This Row],[Orçado
Jul]]</f>
        <v>0</v>
      </c>
      <c r="AO69" s="38" t="str">
        <f t="shared" si="38"/>
        <v>-</v>
      </c>
      <c r="AP69" s="28">
        <v>0</v>
      </c>
      <c r="AQ69" s="28">
        <v>0</v>
      </c>
      <c r="AR69" s="29">
        <f>Tabela4[[#This Row],[Realizado
Ago]]-Tabela4[[#This Row],[Orçado
Ago]]</f>
        <v>0</v>
      </c>
      <c r="AS69" s="38" t="str">
        <f t="shared" si="39"/>
        <v>-</v>
      </c>
      <c r="AT69" s="28">
        <v>0</v>
      </c>
      <c r="AU69" s="28">
        <v>0</v>
      </c>
      <c r="AV69" s="29">
        <f>Tabela4[[#This Row],[Realizado
Set]]-Tabela4[[#This Row],[Orçado
Set]]</f>
        <v>0</v>
      </c>
      <c r="AW69" s="38" t="str">
        <f t="shared" si="40"/>
        <v>-</v>
      </c>
      <c r="AX69" s="28">
        <v>0</v>
      </c>
      <c r="AY69" s="28">
        <v>0</v>
      </c>
      <c r="AZ69" s="29">
        <f>Tabela4[[#This Row],[Realizado
Out]]-Tabela4[[#This Row],[Orçado
Out]]</f>
        <v>0</v>
      </c>
      <c r="BA69" s="38" t="str">
        <f t="shared" si="41"/>
        <v>-</v>
      </c>
      <c r="BB69" s="28">
        <v>0</v>
      </c>
      <c r="BC69" s="28">
        <v>0</v>
      </c>
      <c r="BD69" s="29">
        <f>Tabela4[[#This Row],[Realizado
Nov]]-Tabela4[[#This Row],[Orçado
Nov]]</f>
        <v>0</v>
      </c>
      <c r="BE69" s="38" t="str">
        <f t="shared" si="42"/>
        <v>-</v>
      </c>
      <c r="BF69" s="28">
        <v>0</v>
      </c>
      <c r="BG69" s="57">
        <v>0</v>
      </c>
      <c r="BH69" s="29">
        <f>Tabela4[[#This Row],[Realizado
Dez]]-Tabela4[[#This Row],[Orçado
Dez]]</f>
        <v>0</v>
      </c>
      <c r="BI69" s="38" t="str">
        <f t="shared" si="43"/>
        <v>-</v>
      </c>
      <c r="BJ69" s="29">
        <f t="shared" si="44"/>
        <v>0</v>
      </c>
      <c r="BK69" s="29">
        <f t="shared" si="45"/>
        <v>9087.5400000000009</v>
      </c>
      <c r="BL69" s="34">
        <f t="shared" si="46"/>
        <v>9087.5400000000009</v>
      </c>
      <c r="BM69" s="42" t="str">
        <f t="shared" si="47"/>
        <v>-</v>
      </c>
      <c r="BN69" s="36">
        <f>Tabela4[[#This Row],[Total Orçado
Ano]]-Tabela4[[#This Row],[Total Realizado
Ano]]</f>
        <v>-9087.5400000000009</v>
      </c>
      <c r="BO69" s="36">
        <f>Tabela4[[#This Row],[Total Orçado
Ano]]-Tabela4[[#This Row],[Total Realizado
Ano]]</f>
        <v>-9087.5400000000009</v>
      </c>
    </row>
    <row r="70" spans="1:67" s="23" customFormat="1" ht="12" x14ac:dyDescent="0.2">
      <c r="A70" s="13">
        <v>2026</v>
      </c>
      <c r="B70" s="14" t="s">
        <v>92</v>
      </c>
      <c r="C70" s="14" t="s">
        <v>139</v>
      </c>
      <c r="D70" s="14" t="s">
        <v>93</v>
      </c>
      <c r="E70" s="14" t="s">
        <v>2</v>
      </c>
      <c r="F70" s="14" t="s">
        <v>186</v>
      </c>
      <c r="G70" s="14"/>
      <c r="H70" s="14" t="s">
        <v>104</v>
      </c>
      <c r="I70" s="14"/>
      <c r="J70" s="14" t="s">
        <v>86</v>
      </c>
      <c r="K70" s="14" t="s">
        <v>96</v>
      </c>
      <c r="L70" s="14" t="s">
        <v>88</v>
      </c>
      <c r="M70" s="23" t="s">
        <v>249</v>
      </c>
      <c r="N70" s="27">
        <v>0</v>
      </c>
      <c r="O70" s="27">
        <v>0</v>
      </c>
      <c r="P70" s="29">
        <f>Tabela4[[#This Row],[Realizado
Jan]]-Tabela4[[#This Row],[Orçado
Jan]]</f>
        <v>0</v>
      </c>
      <c r="Q70" s="38" t="str">
        <f t="shared" si="32"/>
        <v>-</v>
      </c>
      <c r="R70" s="27">
        <v>0</v>
      </c>
      <c r="S70" s="27">
        <v>206.1</v>
      </c>
      <c r="T70" s="30">
        <f>Tabela4[[#This Row],[Realizado
Fev]]-Tabela4[[#This Row],[Orçado
Fev]]</f>
        <v>206.1</v>
      </c>
      <c r="U70" s="38" t="str">
        <f t="shared" si="33"/>
        <v>-</v>
      </c>
      <c r="V70" s="27">
        <v>0</v>
      </c>
      <c r="W70" s="27">
        <v>0</v>
      </c>
      <c r="X70" s="29">
        <f>Tabela4[[#This Row],[Realizado
Mar]]-Tabela4[[#This Row],[Orçado
Mar]]</f>
        <v>0</v>
      </c>
      <c r="Y70" s="38" t="str">
        <f t="shared" si="34"/>
        <v>-</v>
      </c>
      <c r="Z70" s="27">
        <v>0</v>
      </c>
      <c r="AA70" s="27">
        <v>0</v>
      </c>
      <c r="AB70" s="29">
        <f>Tabela4[[#This Row],[Realizado
Abr]]-Tabela4[[#This Row],[Orçado
Abr]]</f>
        <v>0</v>
      </c>
      <c r="AC70" s="38" t="str">
        <f t="shared" si="35"/>
        <v>-</v>
      </c>
      <c r="AD70" s="27">
        <v>0</v>
      </c>
      <c r="AE70" s="27">
        <v>0</v>
      </c>
      <c r="AF70" s="29">
        <f>Tabela4[[#This Row],[Realizado
Mai]]-Tabela4[[#This Row],[Orçado
Mai]]</f>
        <v>0</v>
      </c>
      <c r="AG70" s="38" t="str">
        <f t="shared" si="36"/>
        <v>-</v>
      </c>
      <c r="AH70" s="27">
        <v>0</v>
      </c>
      <c r="AI70" s="27">
        <v>0</v>
      </c>
      <c r="AJ70" s="29">
        <f>Tabela4[[#This Row],[Realizado
Jun]]-Tabela4[[#This Row],[Orçado
Jun]]</f>
        <v>0</v>
      </c>
      <c r="AK70" s="38" t="str">
        <f t="shared" si="37"/>
        <v>-</v>
      </c>
      <c r="AL70" s="27">
        <v>0</v>
      </c>
      <c r="AM70" s="27">
        <v>0</v>
      </c>
      <c r="AN70" s="29">
        <f>Tabela4[[#This Row],[Realizado
Jul]]-Tabela4[[#This Row],[Orçado
Jul]]</f>
        <v>0</v>
      </c>
      <c r="AO70" s="38" t="str">
        <f t="shared" si="38"/>
        <v>-</v>
      </c>
      <c r="AP70" s="27">
        <v>0</v>
      </c>
      <c r="AQ70" s="27">
        <v>0</v>
      </c>
      <c r="AR70" s="29">
        <f>Tabela4[[#This Row],[Realizado
Ago]]-Tabela4[[#This Row],[Orçado
Ago]]</f>
        <v>0</v>
      </c>
      <c r="AS70" s="38" t="str">
        <f t="shared" si="39"/>
        <v>-</v>
      </c>
      <c r="AT70" s="27">
        <v>0</v>
      </c>
      <c r="AU70" s="27">
        <v>0</v>
      </c>
      <c r="AV70" s="29">
        <f>Tabela4[[#This Row],[Realizado
Set]]-Tabela4[[#This Row],[Orçado
Set]]</f>
        <v>0</v>
      </c>
      <c r="AW70" s="38" t="str">
        <f t="shared" si="40"/>
        <v>-</v>
      </c>
      <c r="AX70" s="27">
        <v>0</v>
      </c>
      <c r="AY70" s="27">
        <v>0</v>
      </c>
      <c r="AZ70" s="29">
        <f>Tabela4[[#This Row],[Realizado
Out]]-Tabela4[[#This Row],[Orçado
Out]]</f>
        <v>0</v>
      </c>
      <c r="BA70" s="38" t="str">
        <f t="shared" si="41"/>
        <v>-</v>
      </c>
      <c r="BB70" s="27">
        <v>0</v>
      </c>
      <c r="BC70" s="27">
        <v>0</v>
      </c>
      <c r="BD70" s="29">
        <f>Tabela4[[#This Row],[Realizado
Nov]]-Tabela4[[#This Row],[Orçado
Nov]]</f>
        <v>0</v>
      </c>
      <c r="BE70" s="38" t="str">
        <f t="shared" si="42"/>
        <v>-</v>
      </c>
      <c r="BF70" s="27">
        <v>0</v>
      </c>
      <c r="BG70" s="56">
        <v>0</v>
      </c>
      <c r="BH70" s="29">
        <f>Tabela4[[#This Row],[Realizado
Dez]]-Tabela4[[#This Row],[Orçado
Dez]]</f>
        <v>0</v>
      </c>
      <c r="BI70" s="38" t="str">
        <f t="shared" si="43"/>
        <v>-</v>
      </c>
      <c r="BJ70" s="29">
        <f t="shared" si="44"/>
        <v>0</v>
      </c>
      <c r="BK70" s="29">
        <f t="shared" si="45"/>
        <v>206.1</v>
      </c>
      <c r="BL70" s="34">
        <f t="shared" si="46"/>
        <v>206.1</v>
      </c>
      <c r="BM70" s="42" t="str">
        <f t="shared" si="47"/>
        <v>-</v>
      </c>
      <c r="BN70" s="27">
        <f>Tabela4[[#This Row],[Total Orçado
Ano]]-Tabela4[[#This Row],[Total Realizado
Ano]]</f>
        <v>-206.1</v>
      </c>
      <c r="BO70" s="36">
        <f>Tabela4[[#This Row],[Total Orçado
Ano]]-Tabela4[[#This Row],[Total Realizado
Ano]]</f>
        <v>-206.1</v>
      </c>
    </row>
    <row r="71" spans="1:67" s="23" customFormat="1" ht="12" x14ac:dyDescent="0.2">
      <c r="A71" s="13">
        <v>2026</v>
      </c>
      <c r="B71" s="14" t="s">
        <v>92</v>
      </c>
      <c r="C71" s="14" t="s">
        <v>139</v>
      </c>
      <c r="D71" s="14" t="s">
        <v>93</v>
      </c>
      <c r="E71" s="14" t="s">
        <v>2</v>
      </c>
      <c r="F71" s="14" t="s">
        <v>180</v>
      </c>
      <c r="G71" s="14"/>
      <c r="H71" s="14" t="s">
        <v>97</v>
      </c>
      <c r="I71" s="14"/>
      <c r="J71" s="14" t="s">
        <v>86</v>
      </c>
      <c r="K71" s="14" t="s">
        <v>96</v>
      </c>
      <c r="L71" s="14" t="s">
        <v>88</v>
      </c>
      <c r="M71" s="63"/>
      <c r="N71" s="27">
        <v>2164</v>
      </c>
      <c r="O71" s="27">
        <v>0</v>
      </c>
      <c r="P71" s="29">
        <f>Tabela4[[#This Row],[Realizado
Jan]]-Tabela4[[#This Row],[Orçado
Jan]]</f>
        <v>-2164</v>
      </c>
      <c r="Q71" s="38">
        <f t="shared" si="32"/>
        <v>-1</v>
      </c>
      <c r="R71" s="27">
        <v>2164</v>
      </c>
      <c r="S71" s="27">
        <v>0</v>
      </c>
      <c r="T71" s="30">
        <f>Tabela4[[#This Row],[Realizado
Fev]]-Tabela4[[#This Row],[Orçado
Fev]]</f>
        <v>-2164</v>
      </c>
      <c r="U71" s="38">
        <f t="shared" si="33"/>
        <v>-1</v>
      </c>
      <c r="V71" s="27">
        <v>2164</v>
      </c>
      <c r="W71" s="27">
        <v>0</v>
      </c>
      <c r="X71" s="29">
        <f>Tabela4[[#This Row],[Realizado
Mar]]-Tabela4[[#This Row],[Orçado
Mar]]</f>
        <v>-2164</v>
      </c>
      <c r="Y71" s="38">
        <f t="shared" si="34"/>
        <v>-1</v>
      </c>
      <c r="Z71" s="27">
        <v>2164</v>
      </c>
      <c r="AA71" s="27"/>
      <c r="AB71" s="29">
        <f>Tabela4[[#This Row],[Realizado
Abr]]-Tabela4[[#This Row],[Orçado
Abr]]</f>
        <v>-2164</v>
      </c>
      <c r="AC71" s="38">
        <f t="shared" si="35"/>
        <v>-1</v>
      </c>
      <c r="AD71" s="27">
        <v>2164</v>
      </c>
      <c r="AE71" s="27">
        <v>0</v>
      </c>
      <c r="AF71" s="29">
        <f>Tabela4[[#This Row],[Realizado
Mai]]-Tabela4[[#This Row],[Orçado
Mai]]</f>
        <v>-2164</v>
      </c>
      <c r="AG71" s="38">
        <f t="shared" si="36"/>
        <v>-1</v>
      </c>
      <c r="AH71" s="27">
        <v>2164</v>
      </c>
      <c r="AI71" s="27">
        <v>0</v>
      </c>
      <c r="AJ71" s="29">
        <f>Tabela4[[#This Row],[Realizado
Jun]]-Tabela4[[#This Row],[Orçado
Jun]]</f>
        <v>-2164</v>
      </c>
      <c r="AK71" s="38">
        <f t="shared" si="37"/>
        <v>-1</v>
      </c>
      <c r="AL71" s="27">
        <v>2164</v>
      </c>
      <c r="AM71" s="27">
        <v>0</v>
      </c>
      <c r="AN71" s="29">
        <f>Tabela4[[#This Row],[Realizado
Jul]]-Tabela4[[#This Row],[Orçado
Jul]]</f>
        <v>-2164</v>
      </c>
      <c r="AO71" s="38">
        <f t="shared" si="38"/>
        <v>-1</v>
      </c>
      <c r="AP71" s="27">
        <v>2164</v>
      </c>
      <c r="AQ71" s="27">
        <v>0</v>
      </c>
      <c r="AR71" s="29">
        <f>Tabela4[[#This Row],[Realizado
Ago]]-Tabela4[[#This Row],[Orçado
Ago]]</f>
        <v>-2164</v>
      </c>
      <c r="AS71" s="38">
        <f t="shared" si="39"/>
        <v>-1</v>
      </c>
      <c r="AT71" s="27">
        <v>2164</v>
      </c>
      <c r="AU71" s="27">
        <v>0</v>
      </c>
      <c r="AV71" s="29">
        <f>Tabela4[[#This Row],[Realizado
Set]]-Tabela4[[#This Row],[Orçado
Set]]</f>
        <v>-2164</v>
      </c>
      <c r="AW71" s="38">
        <f t="shared" si="40"/>
        <v>-1</v>
      </c>
      <c r="AX71" s="27">
        <v>2164</v>
      </c>
      <c r="AY71" s="27">
        <v>0</v>
      </c>
      <c r="AZ71" s="29">
        <f>Tabela4[[#This Row],[Realizado
Out]]-Tabela4[[#This Row],[Orçado
Out]]</f>
        <v>-2164</v>
      </c>
      <c r="BA71" s="38">
        <f t="shared" si="41"/>
        <v>-1</v>
      </c>
      <c r="BB71" s="27">
        <v>2164</v>
      </c>
      <c r="BC71" s="27">
        <v>0</v>
      </c>
      <c r="BD71" s="29">
        <f>Tabela4[[#This Row],[Realizado
Nov]]-Tabela4[[#This Row],[Orçado
Nov]]</f>
        <v>-2164</v>
      </c>
      <c r="BE71" s="38">
        <f t="shared" si="42"/>
        <v>-1</v>
      </c>
      <c r="BF71" s="27">
        <v>2164</v>
      </c>
      <c r="BG71" s="56">
        <v>0</v>
      </c>
      <c r="BH71" s="29">
        <f>Tabela4[[#This Row],[Realizado
Dez]]-Tabela4[[#This Row],[Orçado
Dez]]</f>
        <v>-2164</v>
      </c>
      <c r="BI71" s="38">
        <f t="shared" si="43"/>
        <v>-1</v>
      </c>
      <c r="BJ71" s="29">
        <f t="shared" si="44"/>
        <v>25968</v>
      </c>
      <c r="BK71" s="29">
        <f t="shared" si="45"/>
        <v>0</v>
      </c>
      <c r="BL71" s="34">
        <f t="shared" si="46"/>
        <v>-28132</v>
      </c>
      <c r="BM71" s="42">
        <f t="shared" si="47"/>
        <v>-1</v>
      </c>
      <c r="BN71" s="27">
        <f>Tabela4[[#This Row],[Total Orçado
Ano]]-Tabela4[[#This Row],[Total Realizado
Ano]]</f>
        <v>25968</v>
      </c>
      <c r="BO71" s="36">
        <f>Tabela4[[#This Row],[Total Orçado
Ano]]-Tabela4[[#This Row],[Total Realizado
Ano]]</f>
        <v>25968</v>
      </c>
    </row>
    <row r="72" spans="1:67" s="23" customFormat="1" ht="12" x14ac:dyDescent="0.2">
      <c r="A72" s="25">
        <v>2026</v>
      </c>
      <c r="B72" s="14" t="s">
        <v>92</v>
      </c>
      <c r="C72" s="14" t="s">
        <v>139</v>
      </c>
      <c r="D72" s="23" t="s">
        <v>93</v>
      </c>
      <c r="E72" s="23" t="s">
        <v>2</v>
      </c>
      <c r="F72" s="23" t="s">
        <v>203</v>
      </c>
      <c r="H72" s="23" t="s">
        <v>97</v>
      </c>
      <c r="J72" s="23" t="s">
        <v>86</v>
      </c>
      <c r="K72" s="23" t="s">
        <v>96</v>
      </c>
      <c r="L72" s="23" t="s">
        <v>88</v>
      </c>
      <c r="N72" s="28">
        <v>32433</v>
      </c>
      <c r="O72" s="28">
        <v>0</v>
      </c>
      <c r="P72" s="30">
        <f>Tabela4[[#This Row],[Realizado
Jan]]-Tabela4[[#This Row],[Orçado
Jan]]</f>
        <v>-32433</v>
      </c>
      <c r="Q72" s="39">
        <f t="shared" si="32"/>
        <v>-1</v>
      </c>
      <c r="R72" s="28">
        <v>32433</v>
      </c>
      <c r="S72" s="28">
        <v>0</v>
      </c>
      <c r="T72" s="30">
        <f>Tabela4[[#This Row],[Realizado
Fev]]-Tabela4[[#This Row],[Orçado
Fev]]</f>
        <v>-32433</v>
      </c>
      <c r="U72" s="39">
        <f t="shared" si="33"/>
        <v>-1</v>
      </c>
      <c r="V72" s="28">
        <v>32433</v>
      </c>
      <c r="W72" s="28">
        <v>0</v>
      </c>
      <c r="X72" s="30">
        <f>Tabela4[[#This Row],[Realizado
Mar]]-Tabela4[[#This Row],[Orçado
Mar]]</f>
        <v>-32433</v>
      </c>
      <c r="Y72" s="39">
        <f t="shared" si="34"/>
        <v>-1</v>
      </c>
      <c r="Z72" s="28">
        <v>32433</v>
      </c>
      <c r="AA72" s="28"/>
      <c r="AB72" s="30">
        <f>Tabela4[[#This Row],[Realizado
Abr]]-Tabela4[[#This Row],[Orçado
Abr]]</f>
        <v>-32433</v>
      </c>
      <c r="AC72" s="39">
        <f t="shared" si="35"/>
        <v>-1</v>
      </c>
      <c r="AD72" s="28">
        <v>32433</v>
      </c>
      <c r="AE72" s="28">
        <v>0</v>
      </c>
      <c r="AF72" s="30">
        <f>Tabela4[[#This Row],[Realizado
Mai]]-Tabela4[[#This Row],[Orçado
Mai]]</f>
        <v>-32433</v>
      </c>
      <c r="AG72" s="38">
        <f t="shared" si="36"/>
        <v>-1</v>
      </c>
      <c r="AH72" s="28">
        <v>32433</v>
      </c>
      <c r="AI72" s="28">
        <v>0</v>
      </c>
      <c r="AJ72" s="30">
        <f>Tabela4[[#This Row],[Realizado
Jun]]-Tabela4[[#This Row],[Orçado
Jun]]</f>
        <v>-32433</v>
      </c>
      <c r="AK72" s="38">
        <f t="shared" si="37"/>
        <v>-1</v>
      </c>
      <c r="AL72" s="28">
        <v>32433</v>
      </c>
      <c r="AM72" s="28">
        <v>0</v>
      </c>
      <c r="AN72" s="30">
        <f>Tabela4[[#This Row],[Realizado
Jul]]-Tabela4[[#This Row],[Orçado
Jul]]</f>
        <v>-32433</v>
      </c>
      <c r="AO72" s="38">
        <f t="shared" si="38"/>
        <v>-1</v>
      </c>
      <c r="AP72" s="28">
        <v>32433</v>
      </c>
      <c r="AQ72" s="28">
        <v>0</v>
      </c>
      <c r="AR72" s="29">
        <f>Tabela4[[#This Row],[Realizado
Ago]]-Tabela4[[#This Row],[Orçado
Ago]]</f>
        <v>-32433</v>
      </c>
      <c r="AS72" s="38">
        <f t="shared" si="39"/>
        <v>-1</v>
      </c>
      <c r="AT72" s="28">
        <v>32433</v>
      </c>
      <c r="AU72" s="28">
        <v>0</v>
      </c>
      <c r="AV72" s="29">
        <f>Tabela4[[#This Row],[Realizado
Set]]-Tabela4[[#This Row],[Orçado
Set]]</f>
        <v>-32433</v>
      </c>
      <c r="AW72" s="38">
        <f t="shared" si="40"/>
        <v>-1</v>
      </c>
      <c r="AX72" s="28">
        <v>32433</v>
      </c>
      <c r="AY72" s="28">
        <v>0</v>
      </c>
      <c r="AZ72" s="29">
        <f>Tabela4[[#This Row],[Realizado
Out]]-Tabela4[[#This Row],[Orçado
Out]]</f>
        <v>-32433</v>
      </c>
      <c r="BA72" s="38">
        <f t="shared" si="41"/>
        <v>-1</v>
      </c>
      <c r="BB72" s="28">
        <v>32433</v>
      </c>
      <c r="BC72" s="28">
        <v>0</v>
      </c>
      <c r="BD72" s="29">
        <f>Tabela4[[#This Row],[Realizado
Nov]]-Tabela4[[#This Row],[Orçado
Nov]]</f>
        <v>-32433</v>
      </c>
      <c r="BE72" s="38">
        <f t="shared" si="42"/>
        <v>-1</v>
      </c>
      <c r="BF72" s="28">
        <v>32433</v>
      </c>
      <c r="BG72" s="57">
        <v>0</v>
      </c>
      <c r="BH72" s="29">
        <f>Tabela4[[#This Row],[Realizado
Dez]]-Tabela4[[#This Row],[Orçado
Dez]]</f>
        <v>-32433</v>
      </c>
      <c r="BI72" s="38">
        <f t="shared" si="43"/>
        <v>-1</v>
      </c>
      <c r="BJ72" s="29">
        <f t="shared" si="44"/>
        <v>389196</v>
      </c>
      <c r="BK72" s="29">
        <f t="shared" si="45"/>
        <v>0</v>
      </c>
      <c r="BL72" s="34">
        <f t="shared" si="46"/>
        <v>-421629</v>
      </c>
      <c r="BM72" s="42">
        <f t="shared" si="47"/>
        <v>-1</v>
      </c>
      <c r="BN72" s="36">
        <f>Tabela4[[#This Row],[Total Orçado
Ano]]-Tabela4[[#This Row],[Total Realizado
Ano]]</f>
        <v>389196</v>
      </c>
      <c r="BO72" s="36">
        <f>Tabela4[[#This Row],[Total Orçado
Ano]]-Tabela4[[#This Row],[Total Realizado
Ano]]</f>
        <v>389196</v>
      </c>
    </row>
    <row r="73" spans="1:67" s="23" customFormat="1" ht="12" x14ac:dyDescent="0.2">
      <c r="A73" s="25">
        <v>2026</v>
      </c>
      <c r="B73" s="14" t="s">
        <v>92</v>
      </c>
      <c r="C73" s="14" t="s">
        <v>139</v>
      </c>
      <c r="D73" s="23" t="s">
        <v>93</v>
      </c>
      <c r="E73" s="23" t="s">
        <v>2</v>
      </c>
      <c r="F73" s="23" t="s">
        <v>204</v>
      </c>
      <c r="H73" s="23" t="s">
        <v>97</v>
      </c>
      <c r="J73" s="23" t="s">
        <v>86</v>
      </c>
      <c r="K73" s="23" t="s">
        <v>96</v>
      </c>
      <c r="L73" s="23" t="s">
        <v>88</v>
      </c>
      <c r="N73" s="28">
        <v>5718</v>
      </c>
      <c r="O73" s="28">
        <v>0</v>
      </c>
      <c r="P73" s="30">
        <f>Tabela4[[#This Row],[Realizado
Jan]]-Tabela4[[#This Row],[Orçado
Jan]]</f>
        <v>-5718</v>
      </c>
      <c r="Q73" s="39">
        <f t="shared" si="32"/>
        <v>-1</v>
      </c>
      <c r="R73" s="28">
        <v>5718</v>
      </c>
      <c r="S73" s="28">
        <v>0</v>
      </c>
      <c r="T73" s="30">
        <f>Tabela4[[#This Row],[Realizado
Fev]]-Tabela4[[#This Row],[Orçado
Fev]]</f>
        <v>-5718</v>
      </c>
      <c r="U73" s="39">
        <f t="shared" si="33"/>
        <v>-1</v>
      </c>
      <c r="V73" s="28">
        <v>5718</v>
      </c>
      <c r="W73" s="28">
        <v>0</v>
      </c>
      <c r="X73" s="30">
        <f>Tabela4[[#This Row],[Realizado
Mar]]-Tabela4[[#This Row],[Orçado
Mar]]</f>
        <v>-5718</v>
      </c>
      <c r="Y73" s="39">
        <f t="shared" si="34"/>
        <v>-1</v>
      </c>
      <c r="Z73" s="28">
        <v>5718</v>
      </c>
      <c r="AA73" s="28"/>
      <c r="AB73" s="30">
        <f>Tabela4[[#This Row],[Realizado
Abr]]-Tabela4[[#This Row],[Orçado
Abr]]</f>
        <v>-5718</v>
      </c>
      <c r="AC73" s="39">
        <f t="shared" si="35"/>
        <v>-1</v>
      </c>
      <c r="AD73" s="28">
        <v>5718</v>
      </c>
      <c r="AE73" s="28">
        <v>0</v>
      </c>
      <c r="AF73" s="30">
        <f>Tabela4[[#This Row],[Realizado
Mai]]-Tabela4[[#This Row],[Orçado
Mai]]</f>
        <v>-5718</v>
      </c>
      <c r="AG73" s="38">
        <f t="shared" si="36"/>
        <v>-1</v>
      </c>
      <c r="AH73" s="28">
        <v>5718</v>
      </c>
      <c r="AI73" s="28">
        <v>0</v>
      </c>
      <c r="AJ73" s="30">
        <f>Tabela4[[#This Row],[Realizado
Jun]]-Tabela4[[#This Row],[Orçado
Jun]]</f>
        <v>-5718</v>
      </c>
      <c r="AK73" s="38">
        <f t="shared" si="37"/>
        <v>-1</v>
      </c>
      <c r="AL73" s="28">
        <v>5718</v>
      </c>
      <c r="AM73" s="28">
        <v>0</v>
      </c>
      <c r="AN73" s="30">
        <f>Tabela4[[#This Row],[Realizado
Jul]]-Tabela4[[#This Row],[Orçado
Jul]]</f>
        <v>-5718</v>
      </c>
      <c r="AO73" s="38">
        <f t="shared" si="38"/>
        <v>-1</v>
      </c>
      <c r="AP73" s="28">
        <v>5718</v>
      </c>
      <c r="AQ73" s="28">
        <v>0</v>
      </c>
      <c r="AR73" s="29">
        <f>Tabela4[[#This Row],[Realizado
Ago]]-Tabela4[[#This Row],[Orçado
Ago]]</f>
        <v>-5718</v>
      </c>
      <c r="AS73" s="38">
        <f t="shared" si="39"/>
        <v>-1</v>
      </c>
      <c r="AT73" s="28">
        <v>5718</v>
      </c>
      <c r="AU73" s="28">
        <v>0</v>
      </c>
      <c r="AV73" s="29">
        <f>Tabela4[[#This Row],[Realizado
Set]]-Tabela4[[#This Row],[Orçado
Set]]</f>
        <v>-5718</v>
      </c>
      <c r="AW73" s="38">
        <f t="shared" si="40"/>
        <v>-1</v>
      </c>
      <c r="AX73" s="28">
        <v>5718</v>
      </c>
      <c r="AY73" s="28">
        <v>0</v>
      </c>
      <c r="AZ73" s="29">
        <f>Tabela4[[#This Row],[Realizado
Out]]-Tabela4[[#This Row],[Orçado
Out]]</f>
        <v>-5718</v>
      </c>
      <c r="BA73" s="38">
        <f t="shared" si="41"/>
        <v>-1</v>
      </c>
      <c r="BB73" s="28">
        <v>5718</v>
      </c>
      <c r="BC73" s="28">
        <v>0</v>
      </c>
      <c r="BD73" s="29">
        <f>Tabela4[[#This Row],[Realizado
Nov]]-Tabela4[[#This Row],[Orçado
Nov]]</f>
        <v>-5718</v>
      </c>
      <c r="BE73" s="38">
        <f t="shared" si="42"/>
        <v>-1</v>
      </c>
      <c r="BF73" s="28">
        <v>5718</v>
      </c>
      <c r="BG73" s="57">
        <v>0</v>
      </c>
      <c r="BH73" s="29">
        <f>Tabela4[[#This Row],[Realizado
Dez]]-Tabela4[[#This Row],[Orçado
Dez]]</f>
        <v>-5718</v>
      </c>
      <c r="BI73" s="38">
        <f t="shared" si="43"/>
        <v>-1</v>
      </c>
      <c r="BJ73" s="29">
        <f t="shared" si="44"/>
        <v>68616</v>
      </c>
      <c r="BK73" s="29">
        <f t="shared" si="45"/>
        <v>0</v>
      </c>
      <c r="BL73" s="34">
        <f t="shared" si="46"/>
        <v>-74334</v>
      </c>
      <c r="BM73" s="42">
        <f t="shared" si="47"/>
        <v>-1</v>
      </c>
      <c r="BN73" s="36">
        <f>Tabela4[[#This Row],[Total Orçado
Ano]]-Tabela4[[#This Row],[Total Realizado
Ano]]</f>
        <v>68616</v>
      </c>
      <c r="BO73" s="36">
        <f>Tabela4[[#This Row],[Total Orçado
Ano]]-Tabela4[[#This Row],[Total Realizado
Ano]]</f>
        <v>68616</v>
      </c>
    </row>
    <row r="74" spans="1:67" s="23" customFormat="1" ht="12" x14ac:dyDescent="0.2">
      <c r="A74" s="25">
        <v>2026</v>
      </c>
      <c r="B74" s="14" t="s">
        <v>92</v>
      </c>
      <c r="C74" s="14" t="s">
        <v>139</v>
      </c>
      <c r="D74" s="23" t="s">
        <v>93</v>
      </c>
      <c r="E74" s="23" t="s">
        <v>2</v>
      </c>
      <c r="F74" s="23" t="s">
        <v>205</v>
      </c>
      <c r="H74" s="23" t="s">
        <v>97</v>
      </c>
      <c r="J74" s="23" t="s">
        <v>86</v>
      </c>
      <c r="K74" s="23" t="s">
        <v>96</v>
      </c>
      <c r="L74" s="23" t="s">
        <v>88</v>
      </c>
      <c r="N74" s="28">
        <v>0</v>
      </c>
      <c r="O74" s="28">
        <v>0</v>
      </c>
      <c r="P74" s="30">
        <f>Tabela4[[#This Row],[Realizado
Jan]]-Tabela4[[#This Row],[Orçado
Jan]]</f>
        <v>0</v>
      </c>
      <c r="Q74" s="39" t="str">
        <f t="shared" si="32"/>
        <v>-</v>
      </c>
      <c r="R74" s="28">
        <v>0</v>
      </c>
      <c r="S74" s="28">
        <v>0</v>
      </c>
      <c r="T74" s="30">
        <f>Tabela4[[#This Row],[Realizado
Fev]]-Tabela4[[#This Row],[Orçado
Fev]]</f>
        <v>0</v>
      </c>
      <c r="U74" s="39" t="str">
        <f t="shared" si="33"/>
        <v>-</v>
      </c>
      <c r="V74" s="28">
        <v>0</v>
      </c>
      <c r="W74" s="28">
        <v>0</v>
      </c>
      <c r="X74" s="30">
        <f>Tabela4[[#This Row],[Realizado
Mar]]-Tabela4[[#This Row],[Orçado
Mar]]</f>
        <v>0</v>
      </c>
      <c r="Y74" s="39" t="str">
        <f t="shared" si="34"/>
        <v>-</v>
      </c>
      <c r="Z74" s="28">
        <v>0</v>
      </c>
      <c r="AA74" s="28"/>
      <c r="AB74" s="30">
        <f>Tabela4[[#This Row],[Realizado
Abr]]-Tabela4[[#This Row],[Orçado
Abr]]</f>
        <v>0</v>
      </c>
      <c r="AC74" s="39" t="str">
        <f t="shared" si="35"/>
        <v>-</v>
      </c>
      <c r="AD74" s="28">
        <v>0</v>
      </c>
      <c r="AE74" s="28">
        <v>0</v>
      </c>
      <c r="AF74" s="30">
        <f>Tabela4[[#This Row],[Realizado
Mai]]-Tabela4[[#This Row],[Orçado
Mai]]</f>
        <v>0</v>
      </c>
      <c r="AG74" s="38" t="str">
        <f t="shared" si="36"/>
        <v>-</v>
      </c>
      <c r="AH74" s="28">
        <v>0</v>
      </c>
      <c r="AI74" s="28">
        <v>0</v>
      </c>
      <c r="AJ74" s="30">
        <f>Tabela4[[#This Row],[Realizado
Jun]]-Tabela4[[#This Row],[Orçado
Jun]]</f>
        <v>0</v>
      </c>
      <c r="AK74" s="38" t="str">
        <f t="shared" si="37"/>
        <v>-</v>
      </c>
      <c r="AL74" s="28">
        <v>0</v>
      </c>
      <c r="AM74" s="28">
        <v>0</v>
      </c>
      <c r="AN74" s="30">
        <f>Tabela4[[#This Row],[Realizado
Jul]]-Tabela4[[#This Row],[Orçado
Jul]]</f>
        <v>0</v>
      </c>
      <c r="AO74" s="38" t="str">
        <f t="shared" si="38"/>
        <v>-</v>
      </c>
      <c r="AP74" s="28">
        <v>0</v>
      </c>
      <c r="AQ74" s="28">
        <v>0</v>
      </c>
      <c r="AR74" s="29">
        <f>Tabela4[[#This Row],[Realizado
Ago]]-Tabela4[[#This Row],[Orçado
Ago]]</f>
        <v>0</v>
      </c>
      <c r="AS74" s="38" t="str">
        <f t="shared" si="39"/>
        <v>-</v>
      </c>
      <c r="AT74" s="28">
        <v>0</v>
      </c>
      <c r="AU74" s="28">
        <v>0</v>
      </c>
      <c r="AV74" s="29">
        <f>Tabela4[[#This Row],[Realizado
Set]]-Tabela4[[#This Row],[Orçado
Set]]</f>
        <v>0</v>
      </c>
      <c r="AW74" s="38" t="str">
        <f t="shared" si="40"/>
        <v>-</v>
      </c>
      <c r="AX74" s="28">
        <v>0</v>
      </c>
      <c r="AY74" s="28">
        <v>0</v>
      </c>
      <c r="AZ74" s="29">
        <f>Tabela4[[#This Row],[Realizado
Out]]-Tabela4[[#This Row],[Orçado
Out]]</f>
        <v>0</v>
      </c>
      <c r="BA74" s="38" t="str">
        <f t="shared" si="41"/>
        <v>-</v>
      </c>
      <c r="BB74" s="28">
        <v>0</v>
      </c>
      <c r="BC74" s="28">
        <v>0</v>
      </c>
      <c r="BD74" s="29">
        <f>Tabela4[[#This Row],[Realizado
Nov]]-Tabela4[[#This Row],[Orçado
Nov]]</f>
        <v>0</v>
      </c>
      <c r="BE74" s="38" t="str">
        <f t="shared" si="42"/>
        <v>-</v>
      </c>
      <c r="BF74" s="28">
        <v>0</v>
      </c>
      <c r="BG74" s="57">
        <v>0</v>
      </c>
      <c r="BH74" s="29">
        <f>Tabela4[[#This Row],[Realizado
Dez]]-Tabela4[[#This Row],[Orçado
Dez]]</f>
        <v>0</v>
      </c>
      <c r="BI74" s="38" t="str">
        <f t="shared" si="43"/>
        <v>-</v>
      </c>
      <c r="BJ74" s="29">
        <f t="shared" si="44"/>
        <v>0</v>
      </c>
      <c r="BK74" s="29">
        <f t="shared" si="45"/>
        <v>0</v>
      </c>
      <c r="BL74" s="34">
        <f t="shared" si="46"/>
        <v>0</v>
      </c>
      <c r="BM74" s="42" t="str">
        <f t="shared" si="47"/>
        <v>-</v>
      </c>
      <c r="BN74" s="36">
        <f>Tabela4[[#This Row],[Total Orçado
Ano]]-Tabela4[[#This Row],[Total Realizado
Ano]]</f>
        <v>0</v>
      </c>
      <c r="BO74" s="36">
        <f>Tabela4[[#This Row],[Total Orçado
Ano]]-Tabela4[[#This Row],[Total Realizado
Ano]]</f>
        <v>0</v>
      </c>
    </row>
    <row r="75" spans="1:67" s="23" customFormat="1" ht="12" x14ac:dyDescent="0.2">
      <c r="A75" s="25">
        <v>2026</v>
      </c>
      <c r="B75" s="14" t="s">
        <v>92</v>
      </c>
      <c r="C75" s="14" t="s">
        <v>139</v>
      </c>
      <c r="D75" s="23" t="s">
        <v>93</v>
      </c>
      <c r="E75" s="23" t="s">
        <v>2</v>
      </c>
      <c r="F75" s="23" t="s">
        <v>206</v>
      </c>
      <c r="H75" s="23" t="s">
        <v>97</v>
      </c>
      <c r="J75" s="23" t="s">
        <v>86</v>
      </c>
      <c r="K75" s="23" t="s">
        <v>96</v>
      </c>
      <c r="L75" s="23" t="s">
        <v>88</v>
      </c>
      <c r="N75" s="28">
        <v>4711</v>
      </c>
      <c r="O75" s="28">
        <v>0</v>
      </c>
      <c r="P75" s="30">
        <f>Tabela4[[#This Row],[Realizado
Jan]]-Tabela4[[#This Row],[Orçado
Jan]]</f>
        <v>-4711</v>
      </c>
      <c r="Q75" s="39">
        <f t="shared" si="32"/>
        <v>-1</v>
      </c>
      <c r="R75" s="28">
        <v>4711</v>
      </c>
      <c r="S75" s="28">
        <v>0</v>
      </c>
      <c r="T75" s="30">
        <f>Tabela4[[#This Row],[Realizado
Fev]]-Tabela4[[#This Row],[Orçado
Fev]]</f>
        <v>-4711</v>
      </c>
      <c r="U75" s="39">
        <f t="shared" si="33"/>
        <v>-1</v>
      </c>
      <c r="V75" s="28">
        <v>4711</v>
      </c>
      <c r="W75" s="28">
        <v>0</v>
      </c>
      <c r="X75" s="30">
        <f>Tabela4[[#This Row],[Realizado
Mar]]-Tabela4[[#This Row],[Orçado
Mar]]</f>
        <v>-4711</v>
      </c>
      <c r="Y75" s="39">
        <f t="shared" si="34"/>
        <v>-1</v>
      </c>
      <c r="Z75" s="28">
        <v>4711</v>
      </c>
      <c r="AA75" s="28"/>
      <c r="AB75" s="30">
        <f>Tabela4[[#This Row],[Realizado
Abr]]-Tabela4[[#This Row],[Orçado
Abr]]</f>
        <v>-4711</v>
      </c>
      <c r="AC75" s="39">
        <f t="shared" si="35"/>
        <v>-1</v>
      </c>
      <c r="AD75" s="28">
        <v>4711</v>
      </c>
      <c r="AE75" s="28">
        <v>0</v>
      </c>
      <c r="AF75" s="30">
        <f>Tabela4[[#This Row],[Realizado
Mai]]-Tabela4[[#This Row],[Orçado
Mai]]</f>
        <v>-4711</v>
      </c>
      <c r="AG75" s="38">
        <f t="shared" si="36"/>
        <v>-1</v>
      </c>
      <c r="AH75" s="28">
        <v>4711</v>
      </c>
      <c r="AI75" s="28">
        <v>0</v>
      </c>
      <c r="AJ75" s="30">
        <f>Tabela4[[#This Row],[Realizado
Jun]]-Tabela4[[#This Row],[Orçado
Jun]]</f>
        <v>-4711</v>
      </c>
      <c r="AK75" s="38">
        <f t="shared" si="37"/>
        <v>-1</v>
      </c>
      <c r="AL75" s="28">
        <v>4711</v>
      </c>
      <c r="AM75" s="28">
        <v>0</v>
      </c>
      <c r="AN75" s="30">
        <f>Tabela4[[#This Row],[Realizado
Jul]]-Tabela4[[#This Row],[Orçado
Jul]]</f>
        <v>-4711</v>
      </c>
      <c r="AO75" s="38">
        <f t="shared" si="38"/>
        <v>-1</v>
      </c>
      <c r="AP75" s="28">
        <v>4711</v>
      </c>
      <c r="AQ75" s="28">
        <v>0</v>
      </c>
      <c r="AR75" s="29">
        <f>Tabela4[[#This Row],[Realizado
Ago]]-Tabela4[[#This Row],[Orçado
Ago]]</f>
        <v>-4711</v>
      </c>
      <c r="AS75" s="38">
        <f t="shared" si="39"/>
        <v>-1</v>
      </c>
      <c r="AT75" s="28">
        <v>4711</v>
      </c>
      <c r="AU75" s="28">
        <v>0</v>
      </c>
      <c r="AV75" s="29">
        <f>Tabela4[[#This Row],[Realizado
Set]]-Tabela4[[#This Row],[Orçado
Set]]</f>
        <v>-4711</v>
      </c>
      <c r="AW75" s="38">
        <f t="shared" si="40"/>
        <v>-1</v>
      </c>
      <c r="AX75" s="28">
        <v>4711</v>
      </c>
      <c r="AY75" s="28">
        <v>0</v>
      </c>
      <c r="AZ75" s="29">
        <f>Tabela4[[#This Row],[Realizado
Out]]-Tabela4[[#This Row],[Orçado
Out]]</f>
        <v>-4711</v>
      </c>
      <c r="BA75" s="38">
        <f t="shared" si="41"/>
        <v>-1</v>
      </c>
      <c r="BB75" s="28">
        <v>4711</v>
      </c>
      <c r="BC75" s="28">
        <v>0</v>
      </c>
      <c r="BD75" s="29">
        <f>Tabela4[[#This Row],[Realizado
Nov]]-Tabela4[[#This Row],[Orçado
Nov]]</f>
        <v>-4711</v>
      </c>
      <c r="BE75" s="38">
        <f t="shared" si="42"/>
        <v>-1</v>
      </c>
      <c r="BF75" s="28">
        <v>4711</v>
      </c>
      <c r="BG75" s="57">
        <v>0</v>
      </c>
      <c r="BH75" s="29">
        <f>Tabela4[[#This Row],[Realizado
Dez]]-Tabela4[[#This Row],[Orçado
Dez]]</f>
        <v>-4711</v>
      </c>
      <c r="BI75" s="38">
        <f t="shared" si="43"/>
        <v>-1</v>
      </c>
      <c r="BJ75" s="29">
        <f t="shared" si="44"/>
        <v>56532</v>
      </c>
      <c r="BK75" s="29">
        <f t="shared" si="45"/>
        <v>0</v>
      </c>
      <c r="BL75" s="34">
        <f t="shared" si="46"/>
        <v>-61243</v>
      </c>
      <c r="BM75" s="42">
        <f t="shared" si="47"/>
        <v>-1</v>
      </c>
      <c r="BN75" s="36">
        <f>Tabela4[[#This Row],[Total Orçado
Ano]]-Tabela4[[#This Row],[Total Realizado
Ano]]</f>
        <v>56532</v>
      </c>
      <c r="BO75" s="36">
        <f>Tabela4[[#This Row],[Total Orçado
Ano]]-Tabela4[[#This Row],[Total Realizado
Ano]]</f>
        <v>56532</v>
      </c>
    </row>
    <row r="76" spans="1:67" s="23" customFormat="1" ht="12" x14ac:dyDescent="0.2">
      <c r="A76" s="25">
        <v>2026</v>
      </c>
      <c r="B76" s="14" t="s">
        <v>92</v>
      </c>
      <c r="C76" s="14" t="s">
        <v>139</v>
      </c>
      <c r="D76" s="23" t="s">
        <v>93</v>
      </c>
      <c r="E76" s="23" t="s">
        <v>2</v>
      </c>
      <c r="F76" s="23" t="s">
        <v>208</v>
      </c>
      <c r="H76" s="23" t="s">
        <v>97</v>
      </c>
      <c r="J76" s="23" t="s">
        <v>86</v>
      </c>
      <c r="K76" s="23" t="s">
        <v>96</v>
      </c>
      <c r="L76" s="23" t="s">
        <v>88</v>
      </c>
      <c r="N76" s="28">
        <v>33000</v>
      </c>
      <c r="O76" s="28">
        <v>0</v>
      </c>
      <c r="P76" s="30">
        <f>Tabela4[[#This Row],[Realizado
Jan]]-Tabela4[[#This Row],[Orçado
Jan]]</f>
        <v>-33000</v>
      </c>
      <c r="Q76" s="39">
        <f t="shared" si="32"/>
        <v>-1</v>
      </c>
      <c r="R76" s="28">
        <v>33000</v>
      </c>
      <c r="S76" s="28">
        <v>0</v>
      </c>
      <c r="T76" s="30">
        <f>Tabela4[[#This Row],[Realizado
Fev]]-Tabela4[[#This Row],[Orçado
Fev]]</f>
        <v>-33000</v>
      </c>
      <c r="U76" s="39">
        <f t="shared" si="33"/>
        <v>-1</v>
      </c>
      <c r="V76" s="28">
        <v>33000</v>
      </c>
      <c r="W76" s="28">
        <v>0</v>
      </c>
      <c r="X76" s="30">
        <f>Tabela4[[#This Row],[Realizado
Mar]]-Tabela4[[#This Row],[Orçado
Mar]]</f>
        <v>-33000</v>
      </c>
      <c r="Y76" s="39">
        <f t="shared" si="34"/>
        <v>-1</v>
      </c>
      <c r="Z76" s="28">
        <v>33000</v>
      </c>
      <c r="AA76" s="28"/>
      <c r="AB76" s="30">
        <f>Tabela4[[#This Row],[Realizado
Abr]]-Tabela4[[#This Row],[Orçado
Abr]]</f>
        <v>-33000</v>
      </c>
      <c r="AC76" s="39">
        <f t="shared" si="35"/>
        <v>-1</v>
      </c>
      <c r="AD76" s="28">
        <v>33000</v>
      </c>
      <c r="AE76" s="28">
        <v>0</v>
      </c>
      <c r="AF76" s="30">
        <f>Tabela4[[#This Row],[Realizado
Mai]]-Tabela4[[#This Row],[Orçado
Mai]]</f>
        <v>-33000</v>
      </c>
      <c r="AG76" s="38">
        <f t="shared" si="36"/>
        <v>-1</v>
      </c>
      <c r="AH76" s="28">
        <v>33000</v>
      </c>
      <c r="AI76" s="28">
        <v>0</v>
      </c>
      <c r="AJ76" s="30">
        <f>Tabela4[[#This Row],[Realizado
Jun]]-Tabela4[[#This Row],[Orçado
Jun]]</f>
        <v>-33000</v>
      </c>
      <c r="AK76" s="38">
        <f t="shared" si="37"/>
        <v>-1</v>
      </c>
      <c r="AL76" s="28">
        <v>33000</v>
      </c>
      <c r="AM76" s="28">
        <v>0</v>
      </c>
      <c r="AN76" s="30">
        <f>Tabela4[[#This Row],[Realizado
Jul]]-Tabela4[[#This Row],[Orçado
Jul]]</f>
        <v>-33000</v>
      </c>
      <c r="AO76" s="38">
        <f t="shared" si="38"/>
        <v>-1</v>
      </c>
      <c r="AP76" s="28">
        <v>33000</v>
      </c>
      <c r="AQ76" s="28"/>
      <c r="AR76" s="29">
        <f>Tabela4[[#This Row],[Realizado
Ago]]-Tabela4[[#This Row],[Orçado
Ago]]</f>
        <v>-33000</v>
      </c>
      <c r="AS76" s="38">
        <f t="shared" si="39"/>
        <v>-1</v>
      </c>
      <c r="AT76" s="28">
        <v>33000</v>
      </c>
      <c r="AU76" s="28">
        <v>0</v>
      </c>
      <c r="AV76" s="29">
        <f>Tabela4[[#This Row],[Realizado
Set]]-Tabela4[[#This Row],[Orçado
Set]]</f>
        <v>-33000</v>
      </c>
      <c r="AW76" s="38">
        <f t="shared" si="40"/>
        <v>-1</v>
      </c>
      <c r="AX76" s="28">
        <v>33000</v>
      </c>
      <c r="AY76" s="28">
        <v>0</v>
      </c>
      <c r="AZ76" s="29">
        <f>Tabela4[[#This Row],[Realizado
Out]]-Tabela4[[#This Row],[Orçado
Out]]</f>
        <v>-33000</v>
      </c>
      <c r="BA76" s="38">
        <f t="shared" si="41"/>
        <v>-1</v>
      </c>
      <c r="BB76" s="28">
        <v>33000</v>
      </c>
      <c r="BC76" s="28">
        <v>0</v>
      </c>
      <c r="BD76" s="29">
        <f>Tabela4[[#This Row],[Realizado
Nov]]-Tabela4[[#This Row],[Orçado
Nov]]</f>
        <v>-33000</v>
      </c>
      <c r="BE76" s="38">
        <f t="shared" si="42"/>
        <v>-1</v>
      </c>
      <c r="BF76" s="28">
        <v>33000</v>
      </c>
      <c r="BG76" s="57">
        <v>0</v>
      </c>
      <c r="BH76" s="29">
        <f>Tabela4[[#This Row],[Realizado
Dez]]-Tabela4[[#This Row],[Orçado
Dez]]</f>
        <v>-33000</v>
      </c>
      <c r="BI76" s="38">
        <f t="shared" si="43"/>
        <v>-1</v>
      </c>
      <c r="BJ76" s="29">
        <f t="shared" si="44"/>
        <v>396000</v>
      </c>
      <c r="BK76" s="29">
        <f t="shared" si="45"/>
        <v>0</v>
      </c>
      <c r="BL76" s="34">
        <f t="shared" si="46"/>
        <v>-429000</v>
      </c>
      <c r="BM76" s="42">
        <f t="shared" si="47"/>
        <v>-1</v>
      </c>
      <c r="BN76" s="36">
        <f>Tabela4[[#This Row],[Total Orçado
Ano]]-Tabela4[[#This Row],[Total Realizado
Ano]]</f>
        <v>396000</v>
      </c>
      <c r="BO76" s="36">
        <f>Tabela4[[#This Row],[Total Orçado
Ano]]-Tabela4[[#This Row],[Total Realizado
Ano]]</f>
        <v>396000</v>
      </c>
    </row>
    <row r="77" spans="1:67" s="23" customFormat="1" ht="12" x14ac:dyDescent="0.2">
      <c r="A77" s="25">
        <v>2026</v>
      </c>
      <c r="B77" s="14" t="s">
        <v>92</v>
      </c>
      <c r="C77" s="14" t="s">
        <v>139</v>
      </c>
      <c r="D77" s="23" t="s">
        <v>93</v>
      </c>
      <c r="E77" s="23" t="s">
        <v>2</v>
      </c>
      <c r="F77" s="23" t="s">
        <v>232</v>
      </c>
      <c r="G77" s="23" t="s">
        <v>123</v>
      </c>
      <c r="H77" s="23" t="s">
        <v>97</v>
      </c>
      <c r="J77" s="23" t="s">
        <v>86</v>
      </c>
      <c r="K77" s="23" t="s">
        <v>96</v>
      </c>
      <c r="L77" s="23" t="s">
        <v>88</v>
      </c>
      <c r="N77" s="28">
        <v>97011.72</v>
      </c>
      <c r="O77" s="28">
        <v>0</v>
      </c>
      <c r="P77" s="30">
        <f>Tabela4[[#This Row],[Realizado
Jan]]-Tabela4[[#This Row],[Orçado
Jan]]</f>
        <v>-97011.72</v>
      </c>
      <c r="Q77" s="39">
        <f t="shared" si="32"/>
        <v>-1</v>
      </c>
      <c r="R77" s="28">
        <v>113661.72</v>
      </c>
      <c r="S77" s="28">
        <v>0</v>
      </c>
      <c r="T77" s="30">
        <f>Tabela4[[#This Row],[Realizado
Fev]]-Tabela4[[#This Row],[Orçado
Fev]]</f>
        <v>-113661.72</v>
      </c>
      <c r="U77" s="39">
        <f t="shared" si="33"/>
        <v>-1</v>
      </c>
      <c r="V77" s="28">
        <v>113661.72</v>
      </c>
      <c r="W77" s="28">
        <v>0</v>
      </c>
      <c r="X77" s="30">
        <f>Tabela4[[#This Row],[Realizado
Mar]]-Tabela4[[#This Row],[Orçado
Mar]]</f>
        <v>-113661.72</v>
      </c>
      <c r="Y77" s="39">
        <f t="shared" si="34"/>
        <v>-1</v>
      </c>
      <c r="Z77" s="28">
        <v>0</v>
      </c>
      <c r="AA77" s="28">
        <v>0</v>
      </c>
      <c r="AB77" s="30">
        <f>Tabela4[[#This Row],[Realizado
Abr]]-Tabela4[[#This Row],[Orçado
Abr]]</f>
        <v>0</v>
      </c>
      <c r="AC77" s="39" t="str">
        <f t="shared" si="35"/>
        <v>-</v>
      </c>
      <c r="AD77" s="28">
        <v>113661.72</v>
      </c>
      <c r="AE77" s="28">
        <v>0</v>
      </c>
      <c r="AF77" s="30">
        <f>Tabela4[[#This Row],[Realizado
Mai]]-Tabela4[[#This Row],[Orçado
Mai]]</f>
        <v>-113661.72</v>
      </c>
      <c r="AG77" s="38">
        <f t="shared" si="36"/>
        <v>-1</v>
      </c>
      <c r="AH77" s="28">
        <v>113661.72</v>
      </c>
      <c r="AI77" s="28">
        <v>0</v>
      </c>
      <c r="AJ77" s="30">
        <f>Tabela4[[#This Row],[Realizado
Jun]]-Tabela4[[#This Row],[Orçado
Jun]]</f>
        <v>-113661.72</v>
      </c>
      <c r="AK77" s="38">
        <f t="shared" si="37"/>
        <v>-1</v>
      </c>
      <c r="AL77" s="28">
        <v>113661.72</v>
      </c>
      <c r="AM77" s="28">
        <v>0</v>
      </c>
      <c r="AN77" s="30">
        <f>Tabela4[[#This Row],[Realizado
Jul]]-Tabela4[[#This Row],[Orçado
Jul]]</f>
        <v>-113661.72</v>
      </c>
      <c r="AO77" s="38">
        <f t="shared" si="38"/>
        <v>-1</v>
      </c>
      <c r="AP77" s="28">
        <v>113661.72</v>
      </c>
      <c r="AQ77" s="28"/>
      <c r="AR77" s="29">
        <f>Tabela4[[#This Row],[Realizado
Ago]]-Tabela4[[#This Row],[Orçado
Ago]]</f>
        <v>-113661.72</v>
      </c>
      <c r="AS77" s="38">
        <f t="shared" si="39"/>
        <v>-1</v>
      </c>
      <c r="AT77" s="28">
        <v>113661.72</v>
      </c>
      <c r="AU77" s="28">
        <v>0</v>
      </c>
      <c r="AV77" s="29">
        <f>Tabela4[[#This Row],[Realizado
Set]]-Tabela4[[#This Row],[Orçado
Set]]</f>
        <v>-113661.72</v>
      </c>
      <c r="AW77" s="38">
        <f t="shared" si="40"/>
        <v>-1</v>
      </c>
      <c r="AX77" s="28">
        <v>113661.72</v>
      </c>
      <c r="AY77" s="28">
        <v>0</v>
      </c>
      <c r="AZ77" s="29">
        <f>Tabela4[[#This Row],[Realizado
Out]]-Tabela4[[#This Row],[Orçado
Out]]</f>
        <v>-113661.72</v>
      </c>
      <c r="BA77" s="38">
        <f t="shared" si="41"/>
        <v>-1</v>
      </c>
      <c r="BB77" s="28">
        <v>113661.72</v>
      </c>
      <c r="BC77" s="28">
        <v>0</v>
      </c>
      <c r="BD77" s="29">
        <f>Tabela4[[#This Row],[Realizado
Nov]]-Tabela4[[#This Row],[Orçado
Nov]]</f>
        <v>-113661.72</v>
      </c>
      <c r="BE77" s="38">
        <f t="shared" si="42"/>
        <v>-1</v>
      </c>
      <c r="BF77" s="28">
        <v>113661.72</v>
      </c>
      <c r="BG77" s="57">
        <v>0</v>
      </c>
      <c r="BH77" s="29">
        <f>Tabela4[[#This Row],[Realizado
Dez]]-Tabela4[[#This Row],[Orçado
Dez]]</f>
        <v>-113661.72</v>
      </c>
      <c r="BI77" s="38">
        <f t="shared" si="43"/>
        <v>-1</v>
      </c>
      <c r="BJ77" s="29">
        <f t="shared" si="44"/>
        <v>1233628.92</v>
      </c>
      <c r="BK77" s="29">
        <f t="shared" si="45"/>
        <v>0</v>
      </c>
      <c r="BL77" s="34">
        <f t="shared" si="46"/>
        <v>-1347290.64</v>
      </c>
      <c r="BM77" s="42">
        <f t="shared" si="47"/>
        <v>-1</v>
      </c>
      <c r="BN77" s="36">
        <f>Tabela4[[#This Row],[Total Orçado
Ano]]-Tabela4[[#This Row],[Total Realizado
Ano]]</f>
        <v>1233628.92</v>
      </c>
      <c r="BO77" s="36">
        <f>Tabela4[[#This Row],[Total Orçado
Ano]]-Tabela4[[#This Row],[Total Realizado
Ano]]</f>
        <v>1233628.92</v>
      </c>
    </row>
    <row r="78" spans="1:67" s="23" customFormat="1" ht="12" x14ac:dyDescent="0.2">
      <c r="A78" s="25">
        <v>2026</v>
      </c>
      <c r="B78" s="14" t="s">
        <v>92</v>
      </c>
      <c r="C78" s="14" t="s">
        <v>139</v>
      </c>
      <c r="D78" s="23" t="s">
        <v>93</v>
      </c>
      <c r="E78" s="23" t="s">
        <v>2</v>
      </c>
      <c r="F78" s="23" t="s">
        <v>233</v>
      </c>
      <c r="G78" s="23" t="s">
        <v>123</v>
      </c>
      <c r="H78" s="23" t="s">
        <v>97</v>
      </c>
      <c r="J78" s="23" t="s">
        <v>86</v>
      </c>
      <c r="K78" s="23" t="s">
        <v>96</v>
      </c>
      <c r="L78" s="23" t="s">
        <v>88</v>
      </c>
      <c r="N78" s="28">
        <v>158349.68</v>
      </c>
      <c r="O78" s="28">
        <v>0</v>
      </c>
      <c r="P78" s="30">
        <f>Tabela4[[#This Row],[Realizado
Jan]]-Tabela4[[#This Row],[Orçado
Jan]]</f>
        <v>-158349.68</v>
      </c>
      <c r="Q78" s="39">
        <f t="shared" si="32"/>
        <v>-1</v>
      </c>
      <c r="R78" s="28">
        <v>158349.68</v>
      </c>
      <c r="S78" s="28">
        <v>0</v>
      </c>
      <c r="T78" s="30">
        <f>Tabela4[[#This Row],[Realizado
Fev]]-Tabela4[[#This Row],[Orçado
Fev]]</f>
        <v>-158349.68</v>
      </c>
      <c r="U78" s="39">
        <f t="shared" si="33"/>
        <v>-1</v>
      </c>
      <c r="V78" s="28">
        <v>158349.68</v>
      </c>
      <c r="W78" s="28">
        <v>0</v>
      </c>
      <c r="X78" s="30">
        <f>Tabela4[[#This Row],[Realizado
Mar]]-Tabela4[[#This Row],[Orçado
Mar]]</f>
        <v>-158349.68</v>
      </c>
      <c r="Y78" s="39">
        <f t="shared" si="34"/>
        <v>-1</v>
      </c>
      <c r="Z78" s="28">
        <v>0</v>
      </c>
      <c r="AA78" s="28">
        <v>0</v>
      </c>
      <c r="AB78" s="30">
        <f>Tabela4[[#This Row],[Realizado
Abr]]-Tabela4[[#This Row],[Orçado
Abr]]</f>
        <v>0</v>
      </c>
      <c r="AC78" s="39" t="str">
        <f t="shared" si="35"/>
        <v>-</v>
      </c>
      <c r="AD78" s="28">
        <v>158349.68</v>
      </c>
      <c r="AE78" s="28">
        <v>0</v>
      </c>
      <c r="AF78" s="30">
        <f>Tabela4[[#This Row],[Realizado
Mai]]-Tabela4[[#This Row],[Orçado
Mai]]</f>
        <v>-158349.68</v>
      </c>
      <c r="AG78" s="38">
        <f t="shared" si="36"/>
        <v>-1</v>
      </c>
      <c r="AH78" s="28">
        <v>158349.68</v>
      </c>
      <c r="AI78" s="28">
        <v>0</v>
      </c>
      <c r="AJ78" s="30">
        <f>Tabela4[[#This Row],[Realizado
Jun]]-Tabela4[[#This Row],[Orçado
Jun]]</f>
        <v>-158349.68</v>
      </c>
      <c r="AK78" s="38">
        <f t="shared" si="37"/>
        <v>-1</v>
      </c>
      <c r="AL78" s="28">
        <v>158349.68</v>
      </c>
      <c r="AM78" s="28">
        <v>0</v>
      </c>
      <c r="AN78" s="30">
        <f>Tabela4[[#This Row],[Realizado
Jul]]-Tabela4[[#This Row],[Orçado
Jul]]</f>
        <v>-158349.68</v>
      </c>
      <c r="AO78" s="38">
        <f t="shared" si="38"/>
        <v>-1</v>
      </c>
      <c r="AP78" s="28">
        <v>158349.68</v>
      </c>
      <c r="AQ78" s="28"/>
      <c r="AR78" s="29">
        <f>Tabela4[[#This Row],[Realizado
Ago]]-Tabela4[[#This Row],[Orçado
Ago]]</f>
        <v>-158349.68</v>
      </c>
      <c r="AS78" s="38">
        <f t="shared" si="39"/>
        <v>-1</v>
      </c>
      <c r="AT78" s="28">
        <v>158349.68</v>
      </c>
      <c r="AU78" s="28">
        <v>0</v>
      </c>
      <c r="AV78" s="29">
        <f>Tabela4[[#This Row],[Realizado
Set]]-Tabela4[[#This Row],[Orçado
Set]]</f>
        <v>-158349.68</v>
      </c>
      <c r="AW78" s="38">
        <f t="shared" si="40"/>
        <v>-1</v>
      </c>
      <c r="AX78" s="28">
        <v>158349.68</v>
      </c>
      <c r="AY78" s="28">
        <v>0</v>
      </c>
      <c r="AZ78" s="29">
        <f>Tabela4[[#This Row],[Realizado
Out]]-Tabela4[[#This Row],[Orçado
Out]]</f>
        <v>-158349.68</v>
      </c>
      <c r="BA78" s="38">
        <f t="shared" si="41"/>
        <v>-1</v>
      </c>
      <c r="BB78" s="28">
        <v>158349.68</v>
      </c>
      <c r="BC78" s="28">
        <v>0</v>
      </c>
      <c r="BD78" s="29">
        <f>Tabela4[[#This Row],[Realizado
Nov]]-Tabela4[[#This Row],[Orçado
Nov]]</f>
        <v>-158349.68</v>
      </c>
      <c r="BE78" s="38">
        <f t="shared" si="42"/>
        <v>-1</v>
      </c>
      <c r="BF78" s="28">
        <v>158349.68</v>
      </c>
      <c r="BG78" s="57">
        <v>0</v>
      </c>
      <c r="BH78" s="29">
        <f>Tabela4[[#This Row],[Realizado
Dez]]-Tabela4[[#This Row],[Orçado
Dez]]</f>
        <v>-158349.68</v>
      </c>
      <c r="BI78" s="38">
        <f t="shared" si="43"/>
        <v>-1</v>
      </c>
      <c r="BJ78" s="29">
        <f t="shared" si="44"/>
        <v>1741846.4799999995</v>
      </c>
      <c r="BK78" s="29">
        <f t="shared" si="45"/>
        <v>0</v>
      </c>
      <c r="BL78" s="34">
        <f t="shared" si="46"/>
        <v>-1900196.1599999995</v>
      </c>
      <c r="BM78" s="42">
        <f t="shared" si="47"/>
        <v>-1</v>
      </c>
      <c r="BN78" s="36">
        <f>Tabela4[[#This Row],[Total Orçado
Ano]]-Tabela4[[#This Row],[Total Realizado
Ano]]</f>
        <v>1741846.4799999995</v>
      </c>
      <c r="BO78" s="36">
        <f>Tabela4[[#This Row],[Total Orçado
Ano]]-Tabela4[[#This Row],[Total Realizado
Ano]]</f>
        <v>1741846.4799999995</v>
      </c>
    </row>
    <row r="79" spans="1:67" s="23" customFormat="1" ht="12" x14ac:dyDescent="0.2">
      <c r="A79" s="25">
        <v>2026</v>
      </c>
      <c r="B79" s="14" t="s">
        <v>92</v>
      </c>
      <c r="C79" s="14" t="s">
        <v>140</v>
      </c>
      <c r="D79" s="23" t="s">
        <v>93</v>
      </c>
      <c r="E79" s="23" t="s">
        <v>18</v>
      </c>
      <c r="F79" s="23" t="s">
        <v>179</v>
      </c>
      <c r="G79" s="23" t="s">
        <v>127</v>
      </c>
      <c r="H79" s="23" t="s">
        <v>280</v>
      </c>
      <c r="J79" s="23" t="s">
        <v>86</v>
      </c>
      <c r="K79" s="23" t="s">
        <v>96</v>
      </c>
      <c r="L79" s="23" t="s">
        <v>87</v>
      </c>
      <c r="N79" s="28">
        <v>726</v>
      </c>
      <c r="O79" s="28">
        <v>0</v>
      </c>
      <c r="P79" s="30">
        <f>Tabela4[[#This Row],[Realizado
Jan]]-Tabela4[[#This Row],[Orçado
Jan]]</f>
        <v>-726</v>
      </c>
      <c r="Q79" s="39">
        <f t="shared" si="32"/>
        <v>-1</v>
      </c>
      <c r="R79" s="28">
        <v>726</v>
      </c>
      <c r="S79" s="28">
        <v>0</v>
      </c>
      <c r="T79" s="30">
        <f>Tabela4[[#This Row],[Realizado
Fev]]-Tabela4[[#This Row],[Orçado
Fev]]</f>
        <v>-726</v>
      </c>
      <c r="U79" s="39">
        <f t="shared" si="33"/>
        <v>-1</v>
      </c>
      <c r="V79" s="28">
        <v>726</v>
      </c>
      <c r="W79" s="28">
        <v>0</v>
      </c>
      <c r="X79" s="30">
        <f>Tabela4[[#This Row],[Realizado
Mar]]-Tabela4[[#This Row],[Orçado
Mar]]</f>
        <v>-726</v>
      </c>
      <c r="Y79" s="39">
        <f t="shared" si="34"/>
        <v>-1</v>
      </c>
      <c r="Z79" s="28">
        <v>0</v>
      </c>
      <c r="AA79" s="28">
        <v>0</v>
      </c>
      <c r="AB79" s="30">
        <f>Tabela4[[#This Row],[Realizado
Abr]]-Tabela4[[#This Row],[Orçado
Abr]]</f>
        <v>0</v>
      </c>
      <c r="AC79" s="39" t="str">
        <f t="shared" si="35"/>
        <v>-</v>
      </c>
      <c r="AD79" s="28">
        <v>726</v>
      </c>
      <c r="AE79" s="28">
        <v>0</v>
      </c>
      <c r="AF79" s="30">
        <f>Tabela4[[#This Row],[Realizado
Mai]]-Tabela4[[#This Row],[Orçado
Mai]]</f>
        <v>-726</v>
      </c>
      <c r="AG79" s="38">
        <f t="shared" si="36"/>
        <v>-1</v>
      </c>
      <c r="AH79" s="28">
        <v>726</v>
      </c>
      <c r="AI79" s="28">
        <v>0</v>
      </c>
      <c r="AJ79" s="30">
        <f>Tabela4[[#This Row],[Realizado
Jun]]-Tabela4[[#This Row],[Orçado
Jun]]</f>
        <v>-726</v>
      </c>
      <c r="AK79" s="38">
        <f t="shared" si="37"/>
        <v>-1</v>
      </c>
      <c r="AL79" s="28">
        <v>726</v>
      </c>
      <c r="AM79" s="28">
        <v>0</v>
      </c>
      <c r="AN79" s="30">
        <f>Tabela4[[#This Row],[Realizado
Jul]]-Tabela4[[#This Row],[Orçado
Jul]]</f>
        <v>-726</v>
      </c>
      <c r="AO79" s="38">
        <f t="shared" si="38"/>
        <v>-1</v>
      </c>
      <c r="AP79" s="28">
        <v>726</v>
      </c>
      <c r="AQ79" s="28">
        <v>0</v>
      </c>
      <c r="AR79" s="29">
        <f>Tabela4[[#This Row],[Realizado
Ago]]-Tabela4[[#This Row],[Orçado
Ago]]</f>
        <v>-726</v>
      </c>
      <c r="AS79" s="38">
        <f t="shared" si="39"/>
        <v>-1</v>
      </c>
      <c r="AT79" s="28">
        <v>726</v>
      </c>
      <c r="AU79" s="28">
        <v>0</v>
      </c>
      <c r="AV79" s="29">
        <f>Tabela4[[#This Row],[Realizado
Set]]-Tabela4[[#This Row],[Orçado
Set]]</f>
        <v>-726</v>
      </c>
      <c r="AW79" s="38">
        <f t="shared" si="40"/>
        <v>-1</v>
      </c>
      <c r="AX79" s="28">
        <v>726</v>
      </c>
      <c r="AY79" s="28">
        <v>0</v>
      </c>
      <c r="AZ79" s="29">
        <f>Tabela4[[#This Row],[Realizado
Out]]-Tabela4[[#This Row],[Orçado
Out]]</f>
        <v>-726</v>
      </c>
      <c r="BA79" s="38">
        <f t="shared" si="41"/>
        <v>-1</v>
      </c>
      <c r="BB79" s="28">
        <v>726</v>
      </c>
      <c r="BC79" s="28">
        <v>0</v>
      </c>
      <c r="BD79" s="29">
        <f>Tabela4[[#This Row],[Realizado
Nov]]-Tabela4[[#This Row],[Orçado
Nov]]</f>
        <v>-726</v>
      </c>
      <c r="BE79" s="38">
        <f t="shared" si="42"/>
        <v>-1</v>
      </c>
      <c r="BF79" s="28">
        <v>726</v>
      </c>
      <c r="BG79" s="57">
        <v>0</v>
      </c>
      <c r="BH79" s="29">
        <f>Tabela4[[#This Row],[Realizado
Dez]]-Tabela4[[#This Row],[Orçado
Dez]]</f>
        <v>-726</v>
      </c>
      <c r="BI79" s="38">
        <f t="shared" si="43"/>
        <v>-1</v>
      </c>
      <c r="BJ79" s="29">
        <f t="shared" si="44"/>
        <v>7986</v>
      </c>
      <c r="BK79" s="29">
        <f t="shared" si="45"/>
        <v>0</v>
      </c>
      <c r="BL79" s="34">
        <f t="shared" si="46"/>
        <v>-8712</v>
      </c>
      <c r="BM79" s="42">
        <f t="shared" si="47"/>
        <v>-1</v>
      </c>
      <c r="BN79" s="36">
        <f>Tabela4[[#This Row],[Total Orçado
Ano]]-Tabela4[[#This Row],[Total Realizado
Ano]]</f>
        <v>7986</v>
      </c>
      <c r="BO79" s="36">
        <f>Tabela4[[#This Row],[Total Orçado
Ano]]-Tabela4[[#This Row],[Total Realizado
Ano]]</f>
        <v>7986</v>
      </c>
    </row>
    <row r="80" spans="1:67" s="23" customFormat="1" ht="12" x14ac:dyDescent="0.2">
      <c r="A80" s="25">
        <v>2026</v>
      </c>
      <c r="B80" s="14" t="s">
        <v>92</v>
      </c>
      <c r="C80" s="14" t="s">
        <v>144</v>
      </c>
      <c r="D80" s="23" t="s">
        <v>93</v>
      </c>
      <c r="E80" s="23" t="s">
        <v>19</v>
      </c>
      <c r="F80" s="23" t="s">
        <v>245</v>
      </c>
      <c r="G80" s="23" t="s">
        <v>251</v>
      </c>
      <c r="H80" s="23" t="s">
        <v>280</v>
      </c>
      <c r="J80" s="23" t="s">
        <v>86</v>
      </c>
      <c r="K80" s="23" t="s">
        <v>96</v>
      </c>
      <c r="L80" s="23" t="s">
        <v>88</v>
      </c>
      <c r="N80" s="28">
        <v>35000</v>
      </c>
      <c r="O80" s="28">
        <v>0</v>
      </c>
      <c r="P80" s="30">
        <f>Tabela4[[#This Row],[Realizado
Jan]]-Tabela4[[#This Row],[Orçado
Jan]]</f>
        <v>-35000</v>
      </c>
      <c r="Q80" s="39">
        <f t="shared" si="32"/>
        <v>-1</v>
      </c>
      <c r="R80" s="28">
        <v>0</v>
      </c>
      <c r="S80" s="28">
        <v>0</v>
      </c>
      <c r="T80" s="30">
        <f>Tabela4[[#This Row],[Realizado
Fev]]-Tabela4[[#This Row],[Orçado
Fev]]</f>
        <v>0</v>
      </c>
      <c r="U80" s="39" t="str">
        <f t="shared" si="33"/>
        <v>-</v>
      </c>
      <c r="V80" s="28">
        <v>0</v>
      </c>
      <c r="W80" s="28">
        <v>0</v>
      </c>
      <c r="X80" s="30">
        <f>Tabela4[[#This Row],[Realizado
Mar]]-Tabela4[[#This Row],[Orçado
Mar]]</f>
        <v>0</v>
      </c>
      <c r="Y80" s="39" t="str">
        <f t="shared" si="34"/>
        <v>-</v>
      </c>
      <c r="Z80" s="28">
        <v>0</v>
      </c>
      <c r="AA80" s="28">
        <v>0</v>
      </c>
      <c r="AB80" s="30">
        <f>Tabela4[[#This Row],[Realizado
Abr]]-Tabela4[[#This Row],[Orçado
Abr]]</f>
        <v>0</v>
      </c>
      <c r="AC80" s="39" t="str">
        <f t="shared" si="35"/>
        <v>-</v>
      </c>
      <c r="AD80" s="28">
        <v>0</v>
      </c>
      <c r="AE80" s="28">
        <v>0</v>
      </c>
      <c r="AF80" s="30">
        <f>Tabela4[[#This Row],[Realizado
Mai]]-Tabela4[[#This Row],[Orçado
Mai]]</f>
        <v>0</v>
      </c>
      <c r="AG80" s="38" t="str">
        <f t="shared" si="36"/>
        <v>-</v>
      </c>
      <c r="AH80" s="28">
        <v>0</v>
      </c>
      <c r="AI80" s="28">
        <v>0</v>
      </c>
      <c r="AJ80" s="30">
        <f>Tabela4[[#This Row],[Realizado
Jun]]-Tabela4[[#This Row],[Orçado
Jun]]</f>
        <v>0</v>
      </c>
      <c r="AK80" s="38" t="str">
        <f t="shared" si="37"/>
        <v>-</v>
      </c>
      <c r="AL80" s="28">
        <v>0</v>
      </c>
      <c r="AM80" s="28">
        <v>0</v>
      </c>
      <c r="AN80" s="30">
        <f>Tabela4[[#This Row],[Realizado
Jul]]-Tabela4[[#This Row],[Orçado
Jul]]</f>
        <v>0</v>
      </c>
      <c r="AO80" s="38" t="str">
        <f t="shared" si="38"/>
        <v>-</v>
      </c>
      <c r="AP80" s="28">
        <v>0</v>
      </c>
      <c r="AQ80" s="28">
        <v>0</v>
      </c>
      <c r="AR80" s="29">
        <f>Tabela4[[#This Row],[Realizado
Ago]]-Tabela4[[#This Row],[Orçado
Ago]]</f>
        <v>0</v>
      </c>
      <c r="AS80" s="38" t="str">
        <f t="shared" si="39"/>
        <v>-</v>
      </c>
      <c r="AT80" s="28">
        <v>0</v>
      </c>
      <c r="AU80" s="28">
        <v>0</v>
      </c>
      <c r="AV80" s="29">
        <f>Tabela4[[#This Row],[Realizado
Set]]-Tabela4[[#This Row],[Orçado
Set]]</f>
        <v>0</v>
      </c>
      <c r="AW80" s="38" t="str">
        <f t="shared" si="40"/>
        <v>-</v>
      </c>
      <c r="AX80" s="28">
        <v>0</v>
      </c>
      <c r="AY80" s="28">
        <v>0</v>
      </c>
      <c r="AZ80" s="29">
        <f>Tabela4[[#This Row],[Realizado
Out]]-Tabela4[[#This Row],[Orçado
Out]]</f>
        <v>0</v>
      </c>
      <c r="BA80" s="38" t="str">
        <f t="shared" si="41"/>
        <v>-</v>
      </c>
      <c r="BB80" s="28">
        <v>0</v>
      </c>
      <c r="BC80" s="28">
        <v>0</v>
      </c>
      <c r="BD80" s="29">
        <f>Tabela4[[#This Row],[Realizado
Nov]]-Tabela4[[#This Row],[Orçado
Nov]]</f>
        <v>0</v>
      </c>
      <c r="BE80" s="38" t="str">
        <f t="shared" si="42"/>
        <v>-</v>
      </c>
      <c r="BF80" s="28">
        <v>0</v>
      </c>
      <c r="BG80" s="57">
        <v>0</v>
      </c>
      <c r="BH80" s="29">
        <f>Tabela4[[#This Row],[Realizado
Dez]]-Tabela4[[#This Row],[Orçado
Dez]]</f>
        <v>0</v>
      </c>
      <c r="BI80" s="38" t="str">
        <f t="shared" si="43"/>
        <v>-</v>
      </c>
      <c r="BJ80" s="29">
        <f t="shared" si="44"/>
        <v>35000</v>
      </c>
      <c r="BK80" s="29">
        <f t="shared" si="45"/>
        <v>0</v>
      </c>
      <c r="BL80" s="34">
        <f t="shared" si="46"/>
        <v>-35000</v>
      </c>
      <c r="BM80" s="42">
        <f t="shared" si="47"/>
        <v>-1</v>
      </c>
      <c r="BN80" s="36">
        <f>Tabela4[[#This Row],[Total Orçado
Ano]]-Tabela4[[#This Row],[Total Realizado
Ano]]</f>
        <v>35000</v>
      </c>
      <c r="BO80" s="36">
        <f>Tabela4[[#This Row],[Total Orçado
Ano]]-Tabela4[[#This Row],[Total Realizado
Ano]]</f>
        <v>35000</v>
      </c>
    </row>
    <row r="81" spans="1:68" s="23" customFormat="1" ht="12" x14ac:dyDescent="0.2">
      <c r="A81" s="25">
        <v>2026</v>
      </c>
      <c r="B81" s="14" t="s">
        <v>92</v>
      </c>
      <c r="C81" s="14" t="s">
        <v>139</v>
      </c>
      <c r="D81" s="23" t="s">
        <v>93</v>
      </c>
      <c r="E81" s="23" t="s">
        <v>2</v>
      </c>
      <c r="F81" s="23" t="s">
        <v>209</v>
      </c>
      <c r="H81" s="23" t="s">
        <v>113</v>
      </c>
      <c r="J81" s="23" t="s">
        <v>86</v>
      </c>
      <c r="K81" s="23" t="s">
        <v>96</v>
      </c>
      <c r="L81" s="23" t="s">
        <v>88</v>
      </c>
      <c r="M81" s="23" t="s">
        <v>249</v>
      </c>
      <c r="N81" s="28">
        <v>0</v>
      </c>
      <c r="O81" s="28">
        <v>899</v>
      </c>
      <c r="P81" s="30">
        <f>Tabela4[[#This Row],[Realizado
Jan]]-Tabela4[[#This Row],[Orçado
Jan]]</f>
        <v>899</v>
      </c>
      <c r="Q81" s="39" t="str">
        <f t="shared" si="32"/>
        <v>-</v>
      </c>
      <c r="S81" s="28">
        <v>899</v>
      </c>
      <c r="T81" s="30">
        <f>Tabela4[[#This Row],[Realizado
Fev]]-Tabela4[[#This Row],[Orçado
Fev]]</f>
        <v>899</v>
      </c>
      <c r="U81" s="39" t="str">
        <f t="shared" si="33"/>
        <v>-</v>
      </c>
      <c r="V81" s="28">
        <v>0</v>
      </c>
      <c r="W81" s="28">
        <v>899</v>
      </c>
      <c r="X81" s="30">
        <f>Tabela4[[#This Row],[Realizado
Mar]]-Tabela4[[#This Row],[Orçado
Mar]]</f>
        <v>899</v>
      </c>
      <c r="Y81" s="39" t="str">
        <f t="shared" si="34"/>
        <v>-</v>
      </c>
      <c r="Z81" s="28">
        <v>0</v>
      </c>
      <c r="AA81" s="28">
        <v>0</v>
      </c>
      <c r="AB81" s="30">
        <f>Tabela4[[#This Row],[Realizado
Abr]]-Tabela4[[#This Row],[Orçado
Abr]]</f>
        <v>0</v>
      </c>
      <c r="AC81" s="39" t="str">
        <f t="shared" si="35"/>
        <v>-</v>
      </c>
      <c r="AD81" s="28">
        <v>0</v>
      </c>
      <c r="AE81" s="28">
        <v>0</v>
      </c>
      <c r="AF81" s="30">
        <f>Tabela4[[#This Row],[Realizado
Mai]]-Tabela4[[#This Row],[Orçado
Mai]]</f>
        <v>0</v>
      </c>
      <c r="AG81" s="38" t="str">
        <f t="shared" si="36"/>
        <v>-</v>
      </c>
      <c r="AH81" s="28">
        <v>0</v>
      </c>
      <c r="AI81" s="28">
        <v>0</v>
      </c>
      <c r="AJ81" s="30">
        <f>Tabela4[[#This Row],[Realizado
Jun]]-Tabela4[[#This Row],[Orçado
Jun]]</f>
        <v>0</v>
      </c>
      <c r="AK81" s="38" t="str">
        <f t="shared" si="37"/>
        <v>-</v>
      </c>
      <c r="AL81" s="28">
        <v>0</v>
      </c>
      <c r="AM81" s="28">
        <v>0</v>
      </c>
      <c r="AN81" s="30">
        <f>Tabela4[[#This Row],[Realizado
Jul]]-Tabela4[[#This Row],[Orçado
Jul]]</f>
        <v>0</v>
      </c>
      <c r="AO81" s="38" t="str">
        <f t="shared" si="38"/>
        <v>-</v>
      </c>
      <c r="AP81" s="28">
        <v>0</v>
      </c>
      <c r="AQ81" s="28">
        <v>0</v>
      </c>
      <c r="AR81" s="29">
        <f>Tabela4[[#This Row],[Realizado
Ago]]-Tabela4[[#This Row],[Orçado
Ago]]</f>
        <v>0</v>
      </c>
      <c r="AS81" s="38" t="str">
        <f t="shared" si="39"/>
        <v>-</v>
      </c>
      <c r="AT81" s="28">
        <v>0</v>
      </c>
      <c r="AU81" s="28">
        <v>0</v>
      </c>
      <c r="AV81" s="29">
        <f>Tabela4[[#This Row],[Realizado
Set]]-Tabela4[[#This Row],[Orçado
Set]]</f>
        <v>0</v>
      </c>
      <c r="AW81" s="38" t="str">
        <f t="shared" si="40"/>
        <v>-</v>
      </c>
      <c r="AX81" s="28">
        <v>0</v>
      </c>
      <c r="AY81" s="28">
        <v>0</v>
      </c>
      <c r="AZ81" s="29">
        <f>Tabela4[[#This Row],[Realizado
Out]]-Tabela4[[#This Row],[Orçado
Out]]</f>
        <v>0</v>
      </c>
      <c r="BA81" s="38" t="str">
        <f t="shared" si="41"/>
        <v>-</v>
      </c>
      <c r="BB81" s="28">
        <v>0</v>
      </c>
      <c r="BC81" s="28">
        <v>0</v>
      </c>
      <c r="BD81" s="29">
        <f>Tabela4[[#This Row],[Realizado
Nov]]-Tabela4[[#This Row],[Orçado
Nov]]</f>
        <v>0</v>
      </c>
      <c r="BE81" s="38" t="str">
        <f t="shared" si="42"/>
        <v>-</v>
      </c>
      <c r="BF81" s="28">
        <v>0</v>
      </c>
      <c r="BG81" s="57">
        <v>0</v>
      </c>
      <c r="BH81" s="29">
        <f>Tabela4[[#This Row],[Realizado
Dez]]-Tabela4[[#This Row],[Orçado
Dez]]</f>
        <v>0</v>
      </c>
      <c r="BI81" s="38" t="str">
        <f t="shared" si="43"/>
        <v>-</v>
      </c>
      <c r="BJ81" s="29">
        <f t="shared" si="44"/>
        <v>0</v>
      </c>
      <c r="BK81" s="29">
        <f t="shared" si="45"/>
        <v>2697</v>
      </c>
      <c r="BL81" s="34">
        <f t="shared" si="46"/>
        <v>3596</v>
      </c>
      <c r="BM81" s="42" t="str">
        <f t="shared" si="47"/>
        <v>-</v>
      </c>
      <c r="BN81" s="36">
        <f>Tabela4[[#This Row],[Total Orçado
Ano]]-Tabela4[[#This Row],[Total Realizado
Ano]]</f>
        <v>-2697</v>
      </c>
      <c r="BO81" s="36">
        <f>Tabela4[[#This Row],[Total Orçado
Ano]]-Tabela4[[#This Row],[Total Realizado
Ano]]</f>
        <v>-2697</v>
      </c>
    </row>
    <row r="82" spans="1:68" s="23" customFormat="1" ht="13.15" customHeight="1" x14ac:dyDescent="0.2">
      <c r="A82" s="25">
        <v>2026</v>
      </c>
      <c r="B82" s="14" t="s">
        <v>92</v>
      </c>
      <c r="C82" s="14" t="s">
        <v>139</v>
      </c>
      <c r="D82" s="23" t="s">
        <v>93</v>
      </c>
      <c r="E82" s="23" t="s">
        <v>2</v>
      </c>
      <c r="F82" s="23" t="s">
        <v>234</v>
      </c>
      <c r="H82" s="23" t="s">
        <v>124</v>
      </c>
      <c r="J82" s="23" t="s">
        <v>86</v>
      </c>
      <c r="K82" s="23" t="s">
        <v>96</v>
      </c>
      <c r="L82" s="23" t="s">
        <v>88</v>
      </c>
      <c r="M82" s="23" t="s">
        <v>309</v>
      </c>
      <c r="N82" s="28">
        <v>530408</v>
      </c>
      <c r="O82" s="28">
        <v>530408</v>
      </c>
      <c r="P82" s="30">
        <f>Tabela4[[#This Row],[Realizado
Jan]]-Tabela4[[#This Row],[Orçado
Jan]]</f>
        <v>0</v>
      </c>
      <c r="Q82" s="39">
        <f t="shared" si="32"/>
        <v>0</v>
      </c>
      <c r="R82" s="68">
        <v>747640.82</v>
      </c>
      <c r="S82" s="28">
        <v>747640.82</v>
      </c>
      <c r="T82" s="30">
        <f>Tabela4[[#This Row],[Realizado
Fev]]-Tabela4[[#This Row],[Orçado
Fev]]</f>
        <v>0</v>
      </c>
      <c r="U82" s="39">
        <f t="shared" si="33"/>
        <v>0</v>
      </c>
      <c r="V82" s="28">
        <v>691983.35</v>
      </c>
      <c r="W82" s="28">
        <v>617943.56999999995</v>
      </c>
      <c r="X82" s="30">
        <f>Tabela4[[#This Row],[Realizado
Mar]]-Tabela4[[#This Row],[Orçado
Mar]]</f>
        <v>-74039.780000000028</v>
      </c>
      <c r="Y82" s="39">
        <f t="shared" si="34"/>
        <v>-0.10699647614353731</v>
      </c>
      <c r="Z82" s="28">
        <v>0</v>
      </c>
      <c r="AA82" s="28">
        <v>0</v>
      </c>
      <c r="AB82" s="30">
        <f>Tabela4[[#This Row],[Realizado
Abr]]-Tabela4[[#This Row],[Orçado
Abr]]</f>
        <v>0</v>
      </c>
      <c r="AC82" s="39" t="str">
        <f t="shared" si="35"/>
        <v>-</v>
      </c>
      <c r="AD82" s="28">
        <v>0</v>
      </c>
      <c r="AE82" s="28">
        <v>0</v>
      </c>
      <c r="AF82" s="30">
        <f>Tabela4[[#This Row],[Realizado
Mai]]-Tabela4[[#This Row],[Orçado
Mai]]</f>
        <v>0</v>
      </c>
      <c r="AG82" s="38" t="str">
        <f t="shared" si="36"/>
        <v>-</v>
      </c>
      <c r="AH82" s="28">
        <v>0</v>
      </c>
      <c r="AI82" s="28">
        <v>0</v>
      </c>
      <c r="AJ82" s="30">
        <f>Tabela4[[#This Row],[Realizado
Jun]]-Tabela4[[#This Row],[Orçado
Jun]]</f>
        <v>0</v>
      </c>
      <c r="AK82" s="38" t="str">
        <f t="shared" si="37"/>
        <v>-</v>
      </c>
      <c r="AL82" s="28">
        <v>0</v>
      </c>
      <c r="AM82" s="28">
        <v>0</v>
      </c>
      <c r="AN82" s="30">
        <f>Tabela4[[#This Row],[Realizado
Jul]]-Tabela4[[#This Row],[Orçado
Jul]]</f>
        <v>0</v>
      </c>
      <c r="AO82" s="38" t="str">
        <f t="shared" si="38"/>
        <v>-</v>
      </c>
      <c r="AP82" s="28">
        <v>0</v>
      </c>
      <c r="AQ82" s="28">
        <v>0</v>
      </c>
      <c r="AR82" s="29">
        <f>Tabela4[[#This Row],[Realizado
Ago]]-Tabela4[[#This Row],[Orçado
Ago]]</f>
        <v>0</v>
      </c>
      <c r="AS82" s="38" t="str">
        <f t="shared" si="39"/>
        <v>-</v>
      </c>
      <c r="AT82" s="28">
        <v>0</v>
      </c>
      <c r="AU82" s="28">
        <v>0</v>
      </c>
      <c r="AV82" s="29">
        <f>Tabela4[[#This Row],[Realizado
Set]]-Tabela4[[#This Row],[Orçado
Set]]</f>
        <v>0</v>
      </c>
      <c r="AW82" s="38" t="str">
        <f t="shared" si="40"/>
        <v>-</v>
      </c>
      <c r="AX82" s="28">
        <v>0</v>
      </c>
      <c r="AY82" s="28">
        <v>0</v>
      </c>
      <c r="AZ82" s="29">
        <f>Tabela4[[#This Row],[Realizado
Out]]-Tabela4[[#This Row],[Orçado
Out]]</f>
        <v>0</v>
      </c>
      <c r="BA82" s="38" t="str">
        <f t="shared" si="41"/>
        <v>-</v>
      </c>
      <c r="BB82" s="28">
        <v>0</v>
      </c>
      <c r="BC82" s="28">
        <v>0</v>
      </c>
      <c r="BD82" s="29">
        <f>Tabela4[[#This Row],[Realizado
Nov]]-Tabela4[[#This Row],[Orçado
Nov]]</f>
        <v>0</v>
      </c>
      <c r="BE82" s="38" t="str">
        <f t="shared" si="42"/>
        <v>-</v>
      </c>
      <c r="BF82" s="28">
        <v>0</v>
      </c>
      <c r="BG82" s="57">
        <v>0</v>
      </c>
      <c r="BH82" s="29">
        <f>Tabela4[[#This Row],[Realizado
Dez]]-Tabela4[[#This Row],[Orçado
Dez]]</f>
        <v>0</v>
      </c>
      <c r="BI82" s="38" t="str">
        <f t="shared" si="43"/>
        <v>-</v>
      </c>
      <c r="BJ82" s="29">
        <f t="shared" si="44"/>
        <v>1970032.17</v>
      </c>
      <c r="BK82" s="29">
        <f t="shared" si="45"/>
        <v>1895992.39</v>
      </c>
      <c r="BL82" s="34">
        <f t="shared" si="46"/>
        <v>-148079.56000000006</v>
      </c>
      <c r="BM82" s="42">
        <f t="shared" si="47"/>
        <v>-3.7583030941063279E-2</v>
      </c>
      <c r="BN82" s="36">
        <f>Tabela4[[#This Row],[Total Orçado
Ano]]-Tabela4[[#This Row],[Total Realizado
Ano]]</f>
        <v>74039.780000000028</v>
      </c>
      <c r="BO82" s="36">
        <f>Tabela4[[#This Row],[Total Orçado
Ano]]-Tabela4[[#This Row],[Total Realizado
Ano]]</f>
        <v>74039.780000000028</v>
      </c>
    </row>
    <row r="83" spans="1:68" s="23" customFormat="1" ht="12" x14ac:dyDescent="0.2">
      <c r="A83" s="25">
        <v>2026</v>
      </c>
      <c r="B83" s="14" t="s">
        <v>92</v>
      </c>
      <c r="C83" s="14" t="s">
        <v>141</v>
      </c>
      <c r="D83" s="23" t="s">
        <v>93</v>
      </c>
      <c r="E83" s="23" t="s">
        <v>3</v>
      </c>
      <c r="F83" s="23" t="s">
        <v>244</v>
      </c>
      <c r="G83" s="55"/>
      <c r="H83" s="23" t="s">
        <v>128</v>
      </c>
      <c r="J83" s="23" t="s">
        <v>86</v>
      </c>
      <c r="K83" s="23" t="s">
        <v>96</v>
      </c>
      <c r="L83" s="23" t="s">
        <v>88</v>
      </c>
      <c r="M83" s="55" t="s">
        <v>266</v>
      </c>
      <c r="N83" s="28">
        <v>11000</v>
      </c>
      <c r="O83" s="28">
        <v>11316.48</v>
      </c>
      <c r="P83" s="30">
        <f>Tabela4[[#This Row],[Realizado
Jan]]-Tabela4[[#This Row],[Orçado
Jan]]</f>
        <v>316.47999999999956</v>
      </c>
      <c r="Q83" s="39">
        <f t="shared" si="32"/>
        <v>2.8770909090909052E-2</v>
      </c>
      <c r="R83" s="23">
        <v>11000</v>
      </c>
      <c r="S83" s="28">
        <v>11808.02</v>
      </c>
      <c r="T83" s="30">
        <f>Tabela4[[#This Row],[Realizado
Fev]]-Tabela4[[#This Row],[Orçado
Fev]]</f>
        <v>808.02000000000044</v>
      </c>
      <c r="U83" s="39">
        <f t="shared" si="33"/>
        <v>7.3456363636363681E-2</v>
      </c>
      <c r="V83" s="28">
        <v>11000</v>
      </c>
      <c r="W83" s="28">
        <v>11877.41</v>
      </c>
      <c r="X83" s="30">
        <f>Tabela4[[#This Row],[Realizado
Mar]]-Tabela4[[#This Row],[Orçado
Mar]]</f>
        <v>877.40999999999985</v>
      </c>
      <c r="Y83" s="39">
        <f t="shared" si="34"/>
        <v>7.9764545454545435E-2</v>
      </c>
      <c r="Z83" s="28">
        <v>11000</v>
      </c>
      <c r="AA83" s="28"/>
      <c r="AB83" s="30">
        <f>Tabela4[[#This Row],[Realizado
Abr]]-Tabela4[[#This Row],[Orçado
Abr]]</f>
        <v>-11000</v>
      </c>
      <c r="AC83" s="39">
        <f t="shared" si="35"/>
        <v>-1</v>
      </c>
      <c r="AD83" s="28">
        <v>11000</v>
      </c>
      <c r="AE83" s="28">
        <v>0</v>
      </c>
      <c r="AF83" s="30">
        <f>Tabela4[[#This Row],[Realizado
Mai]]-Tabela4[[#This Row],[Orçado
Mai]]</f>
        <v>-11000</v>
      </c>
      <c r="AG83" s="38">
        <f t="shared" si="36"/>
        <v>-1</v>
      </c>
      <c r="AH83" s="28">
        <v>11000</v>
      </c>
      <c r="AI83" s="28">
        <v>0</v>
      </c>
      <c r="AJ83" s="30">
        <f>Tabela4[[#This Row],[Realizado
Jun]]-Tabela4[[#This Row],[Orçado
Jun]]</f>
        <v>-11000</v>
      </c>
      <c r="AK83" s="38">
        <f t="shared" si="37"/>
        <v>-1</v>
      </c>
      <c r="AL83" s="28">
        <v>11000</v>
      </c>
      <c r="AM83" s="28">
        <v>0</v>
      </c>
      <c r="AN83" s="30">
        <f>Tabela4[[#This Row],[Realizado
Jul]]-Tabela4[[#This Row],[Orçado
Jul]]</f>
        <v>-11000</v>
      </c>
      <c r="AO83" s="38">
        <f t="shared" si="38"/>
        <v>-1</v>
      </c>
      <c r="AP83" s="28">
        <v>11000</v>
      </c>
      <c r="AQ83" s="28"/>
      <c r="AR83" s="29">
        <f>Tabela4[[#This Row],[Realizado
Ago]]-Tabela4[[#This Row],[Orçado
Ago]]</f>
        <v>-11000</v>
      </c>
      <c r="AS83" s="38">
        <f t="shared" si="39"/>
        <v>-1</v>
      </c>
      <c r="AT83" s="28">
        <v>11000</v>
      </c>
      <c r="AU83" s="28">
        <v>0</v>
      </c>
      <c r="AV83" s="29">
        <f>Tabela4[[#This Row],[Realizado
Set]]-Tabela4[[#This Row],[Orçado
Set]]</f>
        <v>-11000</v>
      </c>
      <c r="AW83" s="38">
        <f t="shared" si="40"/>
        <v>-1</v>
      </c>
      <c r="AX83" s="28">
        <v>11000</v>
      </c>
      <c r="AY83" s="28">
        <v>0</v>
      </c>
      <c r="AZ83" s="29">
        <f>Tabela4[[#This Row],[Realizado
Out]]-Tabela4[[#This Row],[Orçado
Out]]</f>
        <v>-11000</v>
      </c>
      <c r="BA83" s="38">
        <f t="shared" si="41"/>
        <v>-1</v>
      </c>
      <c r="BB83" s="28">
        <v>11000</v>
      </c>
      <c r="BC83" s="28">
        <v>0</v>
      </c>
      <c r="BD83" s="29">
        <f>Tabela4[[#This Row],[Realizado
Nov]]-Tabela4[[#This Row],[Orçado
Nov]]</f>
        <v>-11000</v>
      </c>
      <c r="BE83" s="38">
        <f t="shared" si="42"/>
        <v>-1</v>
      </c>
      <c r="BF83" s="28">
        <v>11000</v>
      </c>
      <c r="BG83" s="57">
        <v>0</v>
      </c>
      <c r="BH83" s="29">
        <f>Tabela4[[#This Row],[Realizado
Dez]]-Tabela4[[#This Row],[Orçado
Dez]]</f>
        <v>-11000</v>
      </c>
      <c r="BI83" s="38">
        <f t="shared" si="43"/>
        <v>-1</v>
      </c>
      <c r="BJ83" s="29">
        <f t="shared" si="44"/>
        <v>132000</v>
      </c>
      <c r="BK83" s="29">
        <f t="shared" si="45"/>
        <v>35001.910000000003</v>
      </c>
      <c r="BL83" s="34">
        <f t="shared" si="46"/>
        <v>-96120.68</v>
      </c>
      <c r="BM83" s="42">
        <f t="shared" si="47"/>
        <v>-0.73483401515151514</v>
      </c>
      <c r="BN83" s="36">
        <f>Tabela4[[#This Row],[Total Orçado
Ano]]-Tabela4[[#This Row],[Total Realizado
Ano]]</f>
        <v>96998.09</v>
      </c>
      <c r="BO83" s="36">
        <f>Tabela4[[#This Row],[Total Orçado
Ano]]-Tabela4[[#This Row],[Total Realizado
Ano]]</f>
        <v>96998.09</v>
      </c>
    </row>
    <row r="84" spans="1:68" x14ac:dyDescent="0.25">
      <c r="A84" s="25">
        <v>2026</v>
      </c>
      <c r="B84" s="14" t="s">
        <v>92</v>
      </c>
      <c r="C84" s="14" t="s">
        <v>139</v>
      </c>
      <c r="D84" s="23" t="s">
        <v>93</v>
      </c>
      <c r="E84" s="23" t="s">
        <v>2</v>
      </c>
      <c r="F84" s="23" t="s">
        <v>237</v>
      </c>
      <c r="G84" s="23"/>
      <c r="H84" s="23" t="s">
        <v>125</v>
      </c>
      <c r="I84" s="23"/>
      <c r="J84" s="23" t="s">
        <v>86</v>
      </c>
      <c r="K84" s="23" t="s">
        <v>96</v>
      </c>
      <c r="L84" s="23" t="s">
        <v>88</v>
      </c>
      <c r="M84" s="23" t="s">
        <v>126</v>
      </c>
      <c r="N84" s="28">
        <v>1250</v>
      </c>
      <c r="O84" s="28">
        <v>0</v>
      </c>
      <c r="P84" s="30">
        <f>Tabela4[[#This Row],[Realizado
Jan]]-Tabela4[[#This Row],[Orçado
Jan]]</f>
        <v>-1250</v>
      </c>
      <c r="Q84" s="39">
        <f t="shared" si="32"/>
        <v>-1</v>
      </c>
      <c r="R84" s="23">
        <v>1250</v>
      </c>
      <c r="S84" s="28">
        <v>0</v>
      </c>
      <c r="T84" s="30">
        <f>Tabela4[[#This Row],[Realizado
Fev]]-Tabela4[[#This Row],[Orçado
Fev]]</f>
        <v>-1250</v>
      </c>
      <c r="U84" s="39">
        <f t="shared" si="33"/>
        <v>-1</v>
      </c>
      <c r="V84" s="28">
        <v>1250</v>
      </c>
      <c r="W84" s="28">
        <v>0</v>
      </c>
      <c r="X84" s="30">
        <f>Tabela4[[#This Row],[Realizado
Mar]]-Tabela4[[#This Row],[Orçado
Mar]]</f>
        <v>-1250</v>
      </c>
      <c r="Y84" s="39">
        <f t="shared" si="34"/>
        <v>-1</v>
      </c>
      <c r="Z84" s="28">
        <v>1250</v>
      </c>
      <c r="AA84" s="28"/>
      <c r="AB84" s="30">
        <f>Tabela4[[#This Row],[Realizado
Abr]]-Tabela4[[#This Row],[Orçado
Abr]]</f>
        <v>-1250</v>
      </c>
      <c r="AC84" s="39">
        <f t="shared" si="35"/>
        <v>-1</v>
      </c>
      <c r="AD84" s="28">
        <v>1250</v>
      </c>
      <c r="AE84" s="28">
        <v>0</v>
      </c>
      <c r="AF84" s="30">
        <f>Tabela4[[#This Row],[Realizado
Mai]]-Tabela4[[#This Row],[Orçado
Mai]]</f>
        <v>-1250</v>
      </c>
      <c r="AG84" s="38">
        <f t="shared" si="36"/>
        <v>-1</v>
      </c>
      <c r="AH84" s="28">
        <v>1250</v>
      </c>
      <c r="AI84" s="28">
        <v>0</v>
      </c>
      <c r="AJ84" s="30">
        <f>Tabela4[[#This Row],[Realizado
Jun]]-Tabela4[[#This Row],[Orçado
Jun]]</f>
        <v>-1250</v>
      </c>
      <c r="AK84" s="38">
        <f t="shared" si="37"/>
        <v>-1</v>
      </c>
      <c r="AL84" s="28">
        <v>1250</v>
      </c>
      <c r="AM84" s="28">
        <v>0</v>
      </c>
      <c r="AN84" s="30">
        <f>Tabela4[[#This Row],[Realizado
Jul]]-Tabela4[[#This Row],[Orçado
Jul]]</f>
        <v>-1250</v>
      </c>
      <c r="AO84" s="38">
        <f t="shared" si="38"/>
        <v>-1</v>
      </c>
      <c r="AP84" s="28">
        <v>1250</v>
      </c>
      <c r="AQ84" s="28"/>
      <c r="AR84" s="29">
        <f>Tabela4[[#This Row],[Realizado
Ago]]-Tabela4[[#This Row],[Orçado
Ago]]</f>
        <v>-1250</v>
      </c>
      <c r="AS84" s="38">
        <f t="shared" si="39"/>
        <v>-1</v>
      </c>
      <c r="AT84" s="28">
        <v>1250</v>
      </c>
      <c r="AU84" s="28">
        <v>0</v>
      </c>
      <c r="AV84" s="29">
        <f>Tabela4[[#This Row],[Realizado
Set]]-Tabela4[[#This Row],[Orçado
Set]]</f>
        <v>-1250</v>
      </c>
      <c r="AW84" s="38">
        <f t="shared" si="40"/>
        <v>-1</v>
      </c>
      <c r="AX84" s="28">
        <v>1250</v>
      </c>
      <c r="AY84" s="28">
        <v>0</v>
      </c>
      <c r="AZ84" s="29">
        <f>Tabela4[[#This Row],[Realizado
Out]]-Tabela4[[#This Row],[Orçado
Out]]</f>
        <v>-1250</v>
      </c>
      <c r="BA84" s="38">
        <f t="shared" si="41"/>
        <v>-1</v>
      </c>
      <c r="BB84" s="28">
        <v>1250</v>
      </c>
      <c r="BC84" s="28">
        <v>0</v>
      </c>
      <c r="BD84" s="29">
        <f>Tabela4[[#This Row],[Realizado
Nov]]-Tabela4[[#This Row],[Orçado
Nov]]</f>
        <v>-1250</v>
      </c>
      <c r="BE84" s="38">
        <f t="shared" si="42"/>
        <v>-1</v>
      </c>
      <c r="BF84" s="28">
        <v>1250</v>
      </c>
      <c r="BG84" s="57">
        <v>0</v>
      </c>
      <c r="BH84" s="29">
        <f>Tabela4[[#This Row],[Realizado
Dez]]-Tabela4[[#This Row],[Orçado
Dez]]</f>
        <v>-1250</v>
      </c>
      <c r="BI84" s="38">
        <f t="shared" si="43"/>
        <v>-1</v>
      </c>
      <c r="BJ84" s="29">
        <f t="shared" si="44"/>
        <v>15000</v>
      </c>
      <c r="BK84" s="29">
        <f t="shared" si="45"/>
        <v>0</v>
      </c>
      <c r="BL84" s="34">
        <f t="shared" si="46"/>
        <v>-16250</v>
      </c>
      <c r="BM84" s="42">
        <f t="shared" si="47"/>
        <v>-1</v>
      </c>
      <c r="BN84" s="36">
        <f>Tabela4[[#This Row],[Total Orçado
Ano]]-Tabela4[[#This Row],[Total Realizado
Ano]]</f>
        <v>15000</v>
      </c>
      <c r="BO84" s="36">
        <f>Tabela4[[#This Row],[Total Orçado
Ano]]-Tabela4[[#This Row],[Total Realizado
Ano]]</f>
        <v>15000</v>
      </c>
      <c r="BP84" s="23"/>
    </row>
    <row r="86" spans="1:68" x14ac:dyDescent="0.25">
      <c r="P86" s="61"/>
    </row>
    <row r="87" spans="1:68" x14ac:dyDescent="0.25">
      <c r="P87" s="61"/>
    </row>
  </sheetData>
  <mergeCells count="15">
    <mergeCell ref="A1:BO1"/>
    <mergeCell ref="N2:Q2"/>
    <mergeCell ref="R2:U2"/>
    <mergeCell ref="V2:Y2"/>
    <mergeCell ref="Z2:AC2"/>
    <mergeCell ref="AD2:AG2"/>
    <mergeCell ref="AH2:AK2"/>
    <mergeCell ref="AL2:AO2"/>
    <mergeCell ref="AP2:AS2"/>
    <mergeCell ref="AT2:AW2"/>
    <mergeCell ref="AX2:BA2"/>
    <mergeCell ref="BB2:BE2"/>
    <mergeCell ref="BF2:BI2"/>
    <mergeCell ref="BJ2:BM2"/>
    <mergeCell ref="BN2:BO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0700-000003000000}">
          <x14:formula1>
            <xm:f>#REF!</xm:f>
          </x14:formula1>
          <x14:formula2>
            <xm:f>0</xm:f>
          </x14:formula2>
          <xm:sqref>F85:F496</xm:sqref>
        </x14:dataValidation>
        <x14:dataValidation type="list" allowBlank="1" xr:uid="{00000000-0002-0000-0700-000000000000}">
          <x14:formula1>
            <xm:f>#REF!</xm:f>
          </x14:formula1>
          <x14:formula2>
            <xm:f>0</xm:f>
          </x14:formula2>
          <xm:sqref>B85:C496</xm:sqref>
        </x14:dataValidation>
        <x14:dataValidation type="list" allowBlank="1" xr:uid="{00000000-0002-0000-0700-000001000000}">
          <x14:formula1>
            <xm:f>#REF!</xm:f>
          </x14:formula1>
          <x14:formula2>
            <xm:f>0</xm:f>
          </x14:formula2>
          <xm:sqref>D4:D496</xm:sqref>
        </x14:dataValidation>
        <x14:dataValidation type="list" allowBlank="1" xr:uid="{00000000-0002-0000-0700-000002000000}">
          <x14:formula1>
            <xm:f>#REF!</xm:f>
          </x14:formula1>
          <x14:formula2>
            <xm:f>0</xm:f>
          </x14:formula2>
          <xm:sqref>E4:E496</xm:sqref>
        </x14:dataValidation>
        <x14:dataValidation type="list" allowBlank="1" xr:uid="{00000000-0002-0000-0700-000004000000}">
          <x14:formula1>
            <xm:f>#REF!</xm:f>
          </x14:formula1>
          <x14:formula2>
            <xm:f>0</xm:f>
          </x14:formula2>
          <xm:sqref>I4:I496 L4:L496</xm:sqref>
        </x14:dataValidation>
        <x14:dataValidation type="list" allowBlank="1" xr:uid="{00000000-0002-0000-0700-000005000000}">
          <x14:formula1>
            <xm:f>#REF!</xm:f>
          </x14:formula1>
          <x14:formula2>
            <xm:f>0</xm:f>
          </x14:formula2>
          <xm:sqref>J4:J496</xm:sqref>
        </x14:dataValidation>
        <x14:dataValidation type="list" allowBlank="1" xr:uid="{66B8D333-05F3-4A84-8A24-5308BD9E92BA}">
          <x14:formula1>
            <xm:f>#REF!</xm:f>
          </x14:formula1>
          <xm:sqref>F4:F84</xm:sqref>
        </x14:dataValidation>
        <x14:dataValidation type="list" allowBlank="1" xr:uid="{FA2C96A1-13E8-4522-BB0C-417F3D6B168E}">
          <x14:formula1>
            <xm:f>#REF!</xm:f>
          </x14:formula1>
          <xm:sqref>B4:B84</xm:sqref>
        </x14:dataValidation>
        <x14:dataValidation type="list" allowBlank="1" xr:uid="{941B52A3-3484-4749-8FDE-7A83F9B1E517}">
          <x14:formula1>
            <xm:f>#REF!</xm:f>
          </x14:formula1>
          <xm:sqref>C4:C84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2117e6-e72e-4a29-970f-68dfb8ef3a6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F5223208683547AE4C20DFC5DB7B0C" ma:contentTypeVersion="9" ma:contentTypeDescription="Create a new document." ma:contentTypeScope="" ma:versionID="be5ea4399091b5c916e05728428b91a0">
  <xsd:schema xmlns:xsd="http://www.w3.org/2001/XMLSchema" xmlns:xs="http://www.w3.org/2001/XMLSchema" xmlns:p="http://schemas.microsoft.com/office/2006/metadata/properties" xmlns:ns2="442117e6-e72e-4a29-970f-68dfb8ef3a6d" targetNamespace="http://schemas.microsoft.com/office/2006/metadata/properties" ma:root="true" ma:fieldsID="5a6446f60256dde1f9c17f6f72c76393" ns2:_="">
    <xsd:import namespace="442117e6-e72e-4a29-970f-68dfb8ef3a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2117e6-e72e-4a29-970f-68dfb8ef3a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9da813a-c781-479c-89f2-bbfb97f0d2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385AF5-5BB7-4D78-8897-0577FDE3F18A}">
  <ds:schemaRefs>
    <ds:schemaRef ds:uri="442117e6-e72e-4a29-970f-68dfb8ef3a6d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D828954-D303-45BA-B4A4-01D7CCE43C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2117e6-e72e-4a29-970f-68dfb8ef3a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562F6-1CA5-40FB-A2E9-752E0C1AAF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Base_CAPEX</vt:lpstr>
      <vt:lpstr>Base_OPEX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Vagner Cassiano Floriano da Silva</cp:lastModifiedBy>
  <cp:revision>1</cp:revision>
  <dcterms:created xsi:type="dcterms:W3CDTF">2026-03-24T17:08:58Z</dcterms:created>
  <dcterms:modified xsi:type="dcterms:W3CDTF">2026-04-13T19:08:32Z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0x01010053F5223208683547AE4C20DFC5DB7B0C</vt:lpwstr>
  </property>
  <property fmtid="{D5CDD505-2E9C-101B-9397-08002B2CF9AE}" pid="3" name="MediaServiceImageTags">
    <vt:lpwstr/>
  </property>
</Properties>
</file>